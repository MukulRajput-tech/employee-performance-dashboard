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CDB5176B-09D0-48E4-ABD7-45302AE92899}" xr6:coauthVersionLast="47" xr6:coauthVersionMax="47" xr10:uidLastSave="{00000000-0000-0000-0000-000000000000}"/>
  <bookViews>
    <workbookView xWindow="-120" yWindow="-120" windowWidth="20730" windowHeight="11160" activeTab="4" xr2:uid="{4D8D66A3-C375-4695-BDF7-7E2221D4638D}"/>
  </bookViews>
  <sheets>
    <sheet name="Break Data" sheetId="1" r:id="rId1"/>
    <sheet name="Efficiency Data" sheetId="2" r:id="rId2"/>
    <sheet name="Over All Performance Data" sheetId="3" r:id="rId3"/>
    <sheet name="Summary" sheetId="4" r:id="rId4"/>
    <sheet name="DashBoard" sheetId="5" r:id="rId5"/>
  </sheets>
  <definedNames>
    <definedName name="BreakData">'Break Data'!$A$1:$I$150</definedName>
    <definedName name="EfficiencyData">'Efficiency Data'!$A$1:$Q$150</definedName>
    <definedName name="PerformanceDate">'Over All Performance Data'!$A$1:$J$150</definedName>
  </definedNames>
  <calcPr calcId="191029" iterateCount="1000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3" i="4"/>
  <c r="A4" i="4"/>
  <c r="A5" i="4"/>
  <c r="A6" i="4"/>
  <c r="A7" i="4"/>
  <c r="A8" i="4"/>
  <c r="A9" i="4"/>
  <c r="A10" i="4"/>
  <c r="A11" i="4"/>
  <c r="A12" i="4"/>
  <c r="A2" i="4"/>
</calcChain>
</file>

<file path=xl/sharedStrings.xml><?xml version="1.0" encoding="utf-8"?>
<sst xmlns="http://schemas.openxmlformats.org/spreadsheetml/2006/main" count="2449" uniqueCount="1013">
  <si>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</si>
  <si>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</si>
  <si>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</si>
  <si>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</si>
  <si>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</si>
  <si>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</si>
  <si>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</si>
  <si>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</si>
  <si>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</si>
  <si>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</si>
  <si>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</si>
  <si>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</si>
  <si>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</si>
  <si>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</si>
  <si>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</si>
  <si>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</si>
  <si>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</si>
  <si>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</si>
  <si>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</si>
  <si>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</si>
  <si>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</si>
  <si>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</si>
  <si>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</si>
  <si>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</si>
  <si>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</si>
  <si>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</si>
  <si>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</si>
  <si>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</si>
  <si>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</si>
  <si>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</si>
  <si>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</si>
  <si>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</si>
  <si>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</si>
  <si>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</si>
  <si>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</si>
  <si>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</si>
  <si>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</si>
  <si>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</si>
  <si>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</si>
  <si>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</si>
  <si>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</si>
  <si>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</si>
  <si>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</si>
  <si>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</si>
  <si>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</si>
  <si>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</si>
  <si>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</si>
  <si>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</si>
  <si>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</si>
  <si>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</si>
  <si>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</si>
  <si>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</si>
  <si>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</si>
  <si>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</si>
  <si>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</si>
  <si>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</si>
  <si>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</si>
  <si>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</si>
  <si>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</si>
  <si>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</si>
  <si>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</si>
  <si>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</si>
  <si>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</si>
  <si>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</si>
  <si>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</si>
  <si>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</si>
  <si>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</si>
  <si>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</si>
  <si>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</si>
  <si>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</si>
  <si>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</si>
  <si>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</si>
  <si>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</si>
  <si>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</si>
  <si>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</si>
  <si>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</si>
  <si>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</si>
  <si>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</si>
  <si>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</si>
  <si>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</si>
  <si>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</si>
  <si>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</si>
  <si>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</si>
  <si>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</si>
  <si>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</si>
  <si>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</si>
  <si>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</si>
  <si>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</si>
  <si>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</si>
  <si>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</si>
  <si>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</si>
  <si>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</si>
  <si>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</si>
  <si>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</si>
  <si>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</si>
  <si>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</si>
  <si>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</si>
  <si>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</si>
  <si>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</si>
  <si>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</si>
  <si>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</si>
  <si>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</si>
  <si>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</si>
  <si>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</si>
  <si>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</si>
  <si>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</si>
  <si>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</si>
  <si>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</si>
  <si>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</si>
  <si>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</si>
  <si>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</si>
  <si>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</si>
  <si>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</si>
  <si>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</si>
  <si>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</si>
  <si>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</si>
  <si>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</si>
  <si>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</si>
  <si>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</si>
  <si>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</si>
  <si>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</si>
  <si>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</si>
  <si>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</si>
  <si>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</si>
  <si>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</si>
  <si>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</si>
  <si>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</si>
  <si>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</si>
  <si>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</si>
  <si>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</si>
  <si>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</si>
  <si>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</si>
  <si>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</si>
  <si>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</si>
  <si>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</si>
  <si>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</si>
  <si>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</si>
  <si>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</si>
  <si>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</si>
  <si>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</si>
  <si>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</si>
  <si>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</si>
  <si>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</si>
  <si>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</si>
  <si>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</si>
  <si>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</si>
  <si>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</si>
  <si>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</si>
  <si>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</si>
  <si>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</si>
  <si>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</si>
  <si>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</si>
  <si>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</si>
  <si>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</si>
  <si>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</si>
  <si>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</si>
  <si>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</si>
  <si>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</si>
  <si>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</si>
  <si>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</si>
  <si>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</si>
  <si>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</si>
  <si>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</si>
  <si>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</si>
  <si>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</si>
  <si>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</si>
  <si>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</si>
  <si>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</si>
  <si>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</si>
  <si>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</si>
  <si>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</si>
  <si>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</si>
  <si>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</si>
  <si>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</si>
  <si>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</si>
  <si>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</si>
  <si>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</si>
  <si>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</si>
  <si>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</si>
  <si>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</si>
  <si>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</si>
  <si>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</si>
  <si>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</si>
  <si>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</si>
  <si>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</si>
  <si>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</si>
  <si>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</si>
  <si>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</si>
  <si>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</si>
  <si>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</si>
  <si>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</si>
  <si>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</si>
  <si>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</si>
  <si>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</si>
  <si>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</si>
  <si>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</si>
  <si>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</si>
  <si>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</si>
  <si>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</si>
  <si>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</si>
  <si>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</si>
  <si>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</si>
  <si>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</si>
  <si>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</si>
  <si>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</si>
  <si>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</si>
  <si>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</si>
  <si>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</si>
  <si>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</si>
  <si>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</si>
  <si>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</si>
  <si>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</si>
  <si>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</si>
  <si>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</si>
  <si>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</si>
  <si>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</si>
  <si>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</si>
  <si>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</si>
  <si>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</si>
  <si>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</si>
  <si>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</si>
  <si>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</si>
  <si>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</si>
  <si>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</si>
  <si>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</si>
  <si>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</si>
  <si>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</si>
  <si>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</si>
  <si>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</si>
  <si>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</si>
  <si>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</si>
  <si>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</si>
  <si>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</si>
  <si>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</si>
  <si>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</si>
  <si>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</si>
  <si>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</si>
  <si>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</si>
  <si>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</si>
  <si>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</si>
  <si>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</si>
  <si>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</si>
  <si>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</si>
  <si>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</si>
  <si>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</si>
  <si>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</si>
  <si>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</si>
  <si>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</si>
  <si>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</si>
  <si>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</si>
  <si>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</si>
  <si>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</si>
  <si>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</si>
  <si>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</si>
  <si>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</si>
  <si>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</si>
  <si>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</si>
  <si>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</si>
  <si>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</si>
  <si>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</si>
  <si>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</si>
  <si>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</si>
  <si>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</si>
  <si>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</si>
  <si>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</si>
  <si>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</si>
  <si>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</si>
  <si>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</si>
  <si>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</si>
  <si>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</si>
  <si>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</si>
  <si>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</si>
  <si>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</si>
  <si>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</si>
  <si>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</si>
  <si>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</si>
  <si>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</si>
  <si>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</si>
  <si>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</si>
  <si>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</si>
  <si>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</si>
  <si>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</si>
  <si>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</si>
  <si>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</si>
  <si>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</si>
  <si>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</si>
  <si>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</si>
  <si>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</si>
  <si>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</si>
  <si>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</si>
  <si>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</si>
  <si>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</si>
  <si>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</si>
  <si>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</si>
  <si>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</si>
  <si>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</si>
  <si>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</si>
  <si>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</si>
  <si>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</si>
  <si>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</si>
  <si>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</si>
  <si>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</si>
  <si>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</si>
  <si>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</si>
  <si>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</si>
  <si>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</si>
  <si>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</si>
  <si>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</si>
  <si>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</si>
  <si>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</si>
  <si>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</si>
  <si>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</si>
  <si>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</si>
  <si>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</si>
  <si>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</si>
  <si>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</si>
  <si>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</si>
  <si>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</si>
  <si>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</si>
  <si>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</si>
  <si>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</si>
  <si>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</si>
  <si>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</si>
  <si>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</si>
  <si>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</si>
  <si>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</si>
  <si>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</si>
  <si>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</si>
  <si>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</si>
  <si>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</si>
  <si>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</si>
  <si>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</si>
  <si>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</si>
  <si>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</si>
  <si>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</si>
  <si>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</si>
  <si>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</si>
  <si>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</si>
  <si>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</si>
  <si>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</si>
  <si>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</si>
  <si>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</si>
  <si>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</si>
  <si>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</si>
  <si>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</si>
  <si>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</si>
  <si>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</si>
  <si>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</si>
  <si>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</si>
  <si>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</si>
  <si>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</si>
  <si>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</si>
  <si>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</si>
  <si>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</si>
  <si>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</si>
  <si>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</si>
  <si>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</si>
  <si>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</si>
  <si>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</si>
  <si>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</si>
  <si>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</si>
  <si>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</si>
  <si>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</si>
  <si>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</si>
  <si>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</si>
  <si>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</si>
  <si>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</si>
  <si>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</si>
  <si>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</si>
  <si>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</si>
  <si>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</si>
  <si>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</si>
  <si>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</si>
  <si>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</si>
  <si>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</si>
  <si>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</si>
  <si>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</si>
  <si>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</si>
  <si>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</si>
  <si>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</si>
  <si>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</si>
  <si>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</si>
  <si>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</si>
  <si>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</si>
  <si>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</si>
  <si>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</si>
  <si>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</si>
  <si>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</si>
  <si>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</si>
  <si>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</si>
  <si>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</si>
  <si>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</si>
  <si>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</si>
  <si>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</si>
  <si>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</si>
  <si>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</si>
  <si>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</si>
  <si>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</si>
  <si>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</si>
  <si>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</si>
  <si>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</si>
  <si>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</si>
  <si>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</si>
  <si>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</si>
  <si>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</si>
  <si>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</si>
  <si>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</si>
  <si>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</si>
  <si>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</si>
  <si>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</si>
  <si>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</si>
  <si>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</si>
  <si>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</si>
  <si>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</si>
  <si>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</si>
  <si>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</si>
  <si>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</si>
  <si>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</si>
  <si>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</si>
  <si>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</si>
  <si>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</si>
  <si>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</si>
  <si>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</si>
  <si>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</si>
  <si>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</si>
  <si>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</si>
  <si>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</si>
  <si>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</si>
  <si>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</si>
  <si>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</si>
  <si>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</si>
  <si>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</si>
  <si>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</si>
  <si>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</si>
  <si>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</si>
  <si>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</si>
  <si>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</si>
  <si>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</si>
  <si>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</si>
  <si>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</si>
  <si>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</si>
  <si>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</si>
  <si>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</si>
  <si>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</si>
  <si>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</si>
  <si>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</si>
  <si>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</si>
  <si>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</si>
  <si>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</si>
  <si>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</si>
  <si>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</si>
  <si>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</si>
  <si>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</si>
  <si>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</si>
  <si>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</si>
  <si>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</si>
  <si>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</si>
  <si>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</si>
  <si>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</si>
  <si>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</si>
  <si>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</si>
  <si>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</si>
  <si>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</si>
  <si>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</si>
  <si>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</si>
  <si>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</si>
  <si>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</si>
  <si>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</si>
  <si>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</si>
  <si>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</si>
  <si>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</si>
  <si>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</si>
  <si>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</si>
  <si>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</si>
  <si>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</si>
  <si>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</si>
  <si>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</si>
  <si>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</si>
  <si>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</si>
  <si>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</si>
  <si>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</si>
  <si>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</si>
  <si>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</si>
  <si>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</si>
  <si>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</si>
  <si>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</si>
  <si>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</si>
  <si>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</si>
  <si>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</si>
  <si>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</si>
  <si>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</si>
  <si>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</si>
  <si>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</si>
  <si>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</si>
  <si>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</si>
  <si>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</si>
  <si>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</si>
  <si>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</si>
  <si>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</si>
  <si>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</si>
  <si>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</si>
  <si>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</si>
  <si>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</si>
  <si>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</si>
  <si>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</si>
  <si>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</si>
  <si>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</si>
  <si>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</si>
  <si>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</si>
  <si>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</si>
  <si>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</si>
  <si>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</si>
  <si>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</si>
  <si>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</si>
  <si>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</si>
  <si>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</si>
  <si>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</si>
  <si>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</si>
  <si>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</si>
  <si>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</si>
  <si>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</si>
  <si>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</si>
  <si>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</si>
  <si>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</si>
  <si>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</si>
  <si>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</si>
  <si>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</si>
  <si>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</si>
  <si>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</si>
  <si>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</si>
  <si>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</si>
  <si>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</si>
  <si>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</si>
  <si>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</si>
  <si>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</si>
  <si>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</si>
  <si>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</si>
  <si>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</si>
  <si>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</si>
  <si>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</si>
  <si>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</si>
  <si>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</si>
  <si>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</si>
  <si>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</si>
  <si>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</si>
  <si>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</si>
  <si>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</si>
  <si>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</si>
  <si>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</si>
  <si>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</si>
  <si>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</si>
  <si>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</si>
  <si>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</si>
  <si>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</si>
  <si>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</si>
  <si>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</si>
  <si>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</si>
  <si>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</si>
  <si>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</si>
  <si>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</si>
  <si>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</si>
  <si>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</si>
  <si>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</si>
  <si>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</si>
  <si>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</si>
  <si>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</si>
  <si>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</si>
  <si>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</si>
  <si>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</si>
  <si>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</si>
  <si>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</si>
  <si>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</si>
  <si>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</si>
  <si>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</si>
  <si>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</si>
  <si>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</si>
  <si>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</si>
  <si>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</si>
  <si>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</si>
  <si>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</si>
  <si>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</si>
  <si>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</si>
  <si>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</si>
  <si>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</si>
  <si>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</si>
  <si>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</si>
  <si>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</si>
  <si>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</si>
  <si>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</si>
  <si>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</si>
  <si>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</si>
  <si>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</si>
  <si>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</si>
  <si>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</si>
  <si>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</si>
  <si>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</si>
  <si>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</si>
  <si>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</si>
  <si>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</si>
  <si>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</si>
  <si>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</si>
  <si>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</si>
  <si>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</si>
  <si>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</si>
  <si>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</si>
  <si>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</si>
  <si>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</si>
  <si>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</si>
  <si>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</si>
  <si>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</si>
  <si>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</si>
  <si>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</si>
  <si>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</si>
  <si>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</si>
  <si>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</si>
  <si>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</si>
  <si>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</si>
  <si>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</si>
  <si>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</si>
  <si>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</si>
  <si>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</si>
  <si>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</si>
  <si>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</si>
  <si>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</si>
  <si>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</si>
  <si>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</si>
  <si>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</si>
  <si>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</si>
  <si>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</si>
  <si>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</si>
  <si>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</si>
  <si>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</si>
  <si>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</si>
  <si>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</si>
  <si>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</si>
  <si>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</si>
  <si>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</si>
  <si>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</si>
  <si>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</si>
  <si>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</si>
  <si>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</si>
  <si>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</si>
  <si>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</si>
  <si>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</si>
  <si>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</si>
  <si>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</si>
  <si>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</si>
  <si>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</si>
  <si>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</si>
  <si>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</si>
  <si>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</si>
  <si>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</si>
  <si>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</si>
  <si>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</si>
  <si>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</si>
  <si>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</si>
  <si>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</si>
  <si>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</si>
  <si>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</si>
  <si>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</si>
  <si>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</si>
  <si>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</si>
  <si>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</si>
  <si>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</si>
  <si>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</si>
  <si>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</si>
  <si>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</si>
  <si>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</si>
  <si>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</si>
  <si>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</si>
  <si>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</si>
  <si>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</si>
  <si>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</si>
  <si>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</si>
  <si>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</si>
  <si>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</si>
  <si>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</si>
  <si>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</si>
  <si>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</si>
  <si>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</si>
  <si>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</si>
  <si>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</si>
  <si>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</si>
  <si>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</si>
  <si>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</si>
  <si>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</si>
  <si>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</si>
  <si>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</si>
  <si>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</si>
  <si>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</si>
  <si>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</si>
  <si>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</si>
  <si>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</si>
  <si>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</si>
  <si>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</si>
  <si>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</si>
  <si>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</si>
  <si>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</si>
  <si>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</si>
  <si>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</si>
  <si>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</si>
  <si>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</si>
  <si>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</si>
  <si>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</si>
  <si>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</si>
  <si>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</si>
  <si>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</si>
  <si>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</si>
  <si>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</si>
  <si>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</si>
  <si>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</si>
  <si>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</si>
  <si>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</si>
  <si>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</si>
  <si>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</si>
  <si>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</si>
  <si>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</si>
  <si>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</si>
  <si>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</si>
  <si>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</si>
  <si>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</si>
  <si>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</si>
  <si>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</si>
  <si>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</si>
  <si>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</si>
  <si>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</si>
  <si>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</si>
  <si>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</si>
  <si>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</si>
  <si>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</si>
  <si>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</si>
  <si>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</si>
  <si>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</si>
  <si>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</si>
  <si>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</si>
  <si>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</si>
  <si>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</si>
  <si>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</si>
  <si>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</si>
  <si>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</si>
  <si>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</si>
  <si>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</si>
  <si>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</si>
  <si>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</si>
  <si>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</si>
  <si>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</si>
  <si>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</si>
  <si>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</si>
  <si>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</si>
  <si>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</si>
  <si>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</si>
  <si>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</si>
  <si>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</si>
  <si>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</si>
  <si>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</si>
  <si>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</si>
  <si>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</si>
  <si>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</si>
  <si>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</si>
  <si>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</si>
  <si>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</si>
  <si>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</si>
  <si>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</si>
  <si>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</si>
  <si>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</si>
  <si>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</si>
  <si>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</si>
  <si>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</si>
  <si>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</si>
  <si>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</si>
  <si>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</si>
  <si>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</si>
  <si>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</si>
  <si>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</si>
  <si>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</si>
  <si>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</si>
  <si>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</si>
  <si>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</si>
  <si>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</si>
  <si>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</si>
  <si>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</si>
  <si>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</si>
  <si>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</si>
  <si>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</si>
  <si>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</si>
  <si>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</si>
  <si>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</si>
  <si>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</si>
  <si>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</si>
  <si>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</si>
  <si>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</si>
  <si>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</si>
  <si>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</si>
  <si>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</si>
  <si>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</si>
  <si>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</si>
  <si>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</si>
  <si>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</si>
  <si>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</si>
  <si>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</si>
  <si>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</si>
  <si>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</si>
  <si>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</si>
  <si>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</si>
  <si>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</si>
  <si>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</si>
  <si>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</si>
  <si>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</si>
  <si>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</si>
  <si>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</si>
  <si>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</si>
  <si>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</si>
  <si>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</si>
  <si>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</si>
  <si>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</si>
  <si>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</si>
  <si>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</si>
  <si>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</si>
  <si>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</si>
  <si>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</si>
  <si>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</si>
  <si>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</si>
  <si>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</si>
  <si>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</si>
  <si>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</si>
  <si>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</si>
  <si>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</si>
  <si>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</si>
  <si>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</si>
  <si>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</si>
  <si>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</si>
  <si>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</si>
  <si>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</si>
  <si>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</si>
  <si>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</si>
  <si>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</si>
  <si>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</si>
  <si>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</si>
  <si>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</si>
  <si>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</si>
  <si>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</si>
  <si>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</si>
  <si>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</si>
  <si>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</si>
  <si>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</si>
  <si>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</si>
  <si>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</si>
  <si>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</si>
  <si>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</si>
  <si>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</si>
  <si>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</si>
  <si>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</si>
  <si>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</si>
  <si>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</si>
  <si>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</si>
  <si>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</si>
  <si>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</si>
  <si>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</si>
  <si>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</si>
  <si>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</si>
  <si>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</si>
  <si>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</si>
  <si>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</si>
  <si>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</si>
  <si>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</si>
  <si>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</si>
  <si>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</si>
  <si>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</si>
  <si>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</si>
  <si>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</si>
  <si>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</si>
  <si>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</si>
  <si>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</si>
  <si>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</si>
  <si>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</si>
  <si>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</si>
  <si>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</si>
  <si>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</si>
  <si>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</si>
  <si>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</si>
  <si>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</si>
  <si>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</si>
  <si>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</si>
  <si>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</si>
  <si>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</si>
  <si>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</si>
  <si>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</si>
  <si>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</si>
  <si>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</si>
  <si>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</si>
  <si>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</si>
  <si>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</si>
  <si>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</si>
  <si>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</si>
  <si>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</si>
  <si>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</si>
  <si>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</si>
  <si>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</si>
  <si>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</si>
  <si>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</si>
  <si>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</si>
  <si>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</si>
  <si>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</si>
  <si>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</si>
  <si>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</si>
  <si>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</si>
  <si>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</si>
  <si>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</si>
  <si>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</si>
  <si>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</si>
  <si>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</si>
  <si>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</si>
  <si>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</si>
  <si>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</si>
  <si>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</si>
  <si>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</si>
  <si>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</si>
  <si>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</si>
  <si>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</si>
  <si>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</si>
  <si>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</si>
  <si>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</si>
  <si>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</si>
  <si>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</si>
  <si>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</si>
  <si>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</si>
  <si>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</si>
  <si>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</si>
  <si>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</si>
  <si>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</si>
  <si>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</si>
  <si>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</si>
  <si>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</si>
  <si>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</si>
  <si>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</si>
  <si>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</si>
  <si>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</si>
  <si>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</si>
  <si>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</si>
  <si>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</si>
  <si>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</si>
  <si>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</si>
  <si>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</si>
  <si>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</si>
  <si>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</si>
  <si>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</si>
  <si>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</si>
  <si>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</si>
  <si>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</si>
  <si>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</si>
  <si>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</si>
  <si>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</si>
  <si>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</si>
  <si>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</si>
  <si>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</si>
  <si>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</si>
  <si>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</si>
  <si>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</si>
  <si>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</si>
  <si>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</si>
  <si>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</si>
  <si>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</si>
  <si>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</si>
  <si>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</si>
  <si>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</si>
  <si>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</si>
  <si>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</si>
  <si>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</si>
  <si>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</si>
  <si>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</si>
  <si>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</si>
  <si>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</si>
  <si>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</si>
  <si>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</si>
  <si>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</si>
  <si>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</si>
  <si>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</si>
  <si>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</si>
  <si>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</si>
  <si>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</si>
  <si>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</si>
  <si>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</si>
  <si>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</si>
  <si>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</si>
  <si>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</si>
  <si>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</si>
  <si>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</si>
  <si>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</si>
  <si>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</si>
  <si>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</si>
  <si>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</si>
  <si>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</si>
  <si>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</si>
  <si>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</si>
  <si>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</si>
  <si>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</si>
  <si>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</si>
  <si>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</si>
  <si>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</si>
  <si>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</si>
  <si>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</si>
  <si>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</si>
  <si>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</si>
  <si>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</si>
  <si>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</si>
  <si>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</si>
  <si>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</si>
  <si>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</si>
  <si>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</si>
  <si>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</si>
  <si>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 1: Working Hour</t>
  </si>
  <si>
    <t>Anjali Deoram</t>
  </si>
  <si>
    <t>Sheena Joseph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</si>
</sst>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h:mm: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3" fillId="0" borderId="0" xfId="0" applyFont="1"/>
    <xf numFmtId="0" fontId="0" fillId="4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337207849018871E-2"/>
          <c:y val="0.19483950307354231"/>
          <c:w val="0.94347456567929022"/>
          <c:h val="0.524271653543307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DashBoard!$A$5:$A$10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DashBoard!$B$5:$B$10</c:f>
              <c:numCache>
                <c:formatCode>h:mm:ss;@</c:formatCode>
                <c:ptCount val="6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9-4D6D-9FC4-AA6DE7EB5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237000"/>
        <c:axId val="470238968"/>
      </c:barChart>
      <c:catAx>
        <c:axId val="47023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38968"/>
        <c:crosses val="autoZero"/>
        <c:auto val="1"/>
        <c:lblAlgn val="ctr"/>
        <c:lblOffset val="100"/>
        <c:noMultiLvlLbl val="0"/>
      </c:catAx>
      <c:valAx>
        <c:axId val="470238968"/>
        <c:scaling>
          <c:orientation val="minMax"/>
        </c:scaling>
        <c:delete val="1"/>
        <c:axPos val="l"/>
        <c:numFmt formatCode="h:mm:ss;@" sourceLinked="1"/>
        <c:majorTickMark val="none"/>
        <c:minorTickMark val="none"/>
        <c:tickLblPos val="nextTo"/>
        <c:crossAx val="47023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Project.xlsm]DashBoard!PivotTable2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DashBoard!$D$6:$D$12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DashBoard!$E$6:$E$12</c:f>
              <c:numCache>
                <c:formatCode>h:mm:ss;@</c:formatCode>
                <c:ptCount val="7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1-4C4E-A3CA-C25580CDA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200" min="1" page="10" val="6"/>
</file>

<file path=xl/ctrlProps/ctrlProp2.xml><?xml version="1.0" encoding="utf-8"?>
<formControlPr xmlns="http://schemas.microsoft.com/office/spreadsheetml/2009/9/main" objectType="Spin" dx="22" fmlaLink="$C$1" max="200" min="1" page="10" val="6"/>
</file>

<file path=xl/ctrlProps/ctrlProp3.xml><?xml version="1.0" encoding="utf-8"?>
<formControlPr xmlns="http://schemas.microsoft.com/office/spreadsheetml/2009/9/main" objectType="Spin" dx="22" fmlaLink="$C$2" max="200" min="1" page="10" val="7"/>
</file>

<file path=xl/ctrlProps/ctrlProp4.xml><?xml version="1.0" encoding="utf-8"?>
<formControlPr xmlns="http://schemas.microsoft.com/office/spreadsheetml/2009/9/main" objectType="Spin" dx="22" fmlaLink="$C$2" max="200" min="1" page="10" val="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1114426</xdr:colOff>
      <xdr:row>0</xdr:row>
      <xdr:rowOff>47625</xdr:rowOff>
    </xdr:from>
    <xdr:to>
      <xdr:col>1</xdr:col>
      <xdr:colOff>1657350</xdr:colOff>
      <xdr:row>1</xdr:row>
      <xdr:rowOff>152400</xdr:rowOff>
    </xdr:to>
    <xdr:sp macro="" textlink="$C$1">
      <xdr:nvSpPr>
        <xdr:cNvPr id="21" name="Rectangle 20">
          <a:extLst>
            <a:ext uri="{FF2B5EF4-FFF2-40B4-BE49-F238E27FC236}">
              <a16:creationId xmlns:a16="http://schemas.microsoft.com/office/drawing/2014/main" id="{0AC684D8-BCB0-379F-D01A-FE68E15B4EE0}"/>
            </a:ext>
          </a:extLst>
        </xdr:cNvPr>
        <xdr:cNvSpPr/>
      </xdr:nvSpPr>
      <xdr:spPr>
        <a:xfrm>
          <a:off x="2066926" y="47625"/>
          <a:ext cx="542924" cy="2952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8FE9AC8C-0A49-407B-9FC1-F67644DA1A53}" type="TxLink">
            <a:rPr lang="en-US" sz="20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6</a:t>
          </a:fld>
          <a:endParaRPr lang="en-US" sz="20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11</xdr:row>
      <xdr:rowOff>180974</xdr:rowOff>
    </xdr:from>
    <xdr:to>
      <xdr:col>1</xdr:col>
      <xdr:colOff>2647950</xdr:colOff>
      <xdr:row>21</xdr:row>
      <xdr:rowOff>4761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0</xdr:row>
      <xdr:rowOff>19050</xdr:rowOff>
    </xdr:from>
    <xdr:to>
      <xdr:col>0</xdr:col>
      <xdr:colOff>904875</xdr:colOff>
      <xdr:row>2</xdr:row>
      <xdr:rowOff>9525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" y="19050"/>
          <a:ext cx="904874" cy="371475"/>
        </a:xfrm>
        <a:prstGeom prst="rightArrow">
          <a:avLst>
            <a:gd name="adj1" fmla="val 50000"/>
            <a:gd name="adj2" fmla="val 958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>
    <xdr:from>
      <xdr:col>1</xdr:col>
      <xdr:colOff>1704975</xdr:colOff>
      <xdr:row>0</xdr:row>
      <xdr:rowOff>0</xdr:rowOff>
    </xdr:from>
    <xdr:to>
      <xdr:col>1</xdr:col>
      <xdr:colOff>2647951</xdr:colOff>
      <xdr:row>1</xdr:row>
      <xdr:rowOff>180975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H="1">
          <a:off x="2657475" y="0"/>
          <a:ext cx="942976" cy="371475"/>
        </a:xfrm>
        <a:prstGeom prst="rightArrow">
          <a:avLst>
            <a:gd name="adj1" fmla="val 50000"/>
            <a:gd name="adj2" fmla="val 958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Records</a:t>
          </a:r>
        </a:p>
      </xdr:txBody>
    </xdr:sp>
    <xdr:clientData/>
  </xdr:twoCellAnchor>
  <xdr:twoCellAnchor>
    <xdr:from>
      <xdr:col>1</xdr:col>
      <xdr:colOff>1152526</xdr:colOff>
      <xdr:row>0</xdr:row>
      <xdr:rowOff>47625</xdr:rowOff>
    </xdr:from>
    <xdr:to>
      <xdr:col>1</xdr:col>
      <xdr:colOff>1695450</xdr:colOff>
      <xdr:row>1</xdr:row>
      <xdr:rowOff>152400</xdr:rowOff>
    </xdr:to>
    <xdr:sp macro="" textlink="$C$1">
      <xdr:nvSpPr>
        <xdr:cNvPr id="5" name="Rectangle 4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5026" y="47625"/>
          <a:ext cx="542924" cy="2952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8F076F85-89F1-4507-BF21-7D91B7063DC2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6</a:t>
          </a:fld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66675</xdr:rowOff>
        </xdr:from>
        <xdr:to>
          <xdr:col>1</xdr:col>
          <xdr:colOff>1314450</xdr:colOff>
          <xdr:row>1</xdr:row>
          <xdr:rowOff>133350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2266950</xdr:colOff>
          <xdr:row>12</xdr:row>
          <xdr:rowOff>19050</xdr:rowOff>
        </xdr:from>
        <xdr:to>
          <xdr:col>1</xdr:col>
          <xdr:colOff>2400300</xdr:colOff>
          <xdr:row>13</xdr:row>
          <xdr:rowOff>85725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19050</xdr:colOff>
      <xdr:row>0</xdr:row>
      <xdr:rowOff>28575</xdr:rowOff>
    </xdr:from>
    <xdr:to>
      <xdr:col>1</xdr:col>
      <xdr:colOff>463802</xdr:colOff>
      <xdr:row>1</xdr:row>
      <xdr:rowOff>166444</xdr:rowOff>
    </xdr:to>
    <xdr:pic macro="[0]!hide_chart1">
      <xdr:nvPicPr>
        <xdr:cNvPr id="12" name="Picture 11">
          <a:extLst>
            <a:ext uri="{FF2B5EF4-FFF2-40B4-BE49-F238E27FC236}">
              <a16:creationId xmlns:a16="http://schemas.microsoft.com/office/drawing/2014/main" id="{213822DB-4B8E-B1D0-E415-7C1C1F3F3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28575"/>
          <a:ext cx="444752" cy="328369"/>
        </a:xfrm>
        <a:prstGeom prst="rect">
          <a:avLst/>
        </a:prstGeom>
      </xdr:spPr>
    </xdr:pic>
    <xdr:clientData/>
  </xdr:twoCellAnchor>
  <xdr:twoCellAnchor>
    <xdr:from>
      <xdr:col>1</xdr:col>
      <xdr:colOff>222002</xdr:colOff>
      <xdr:row>0</xdr:row>
      <xdr:rowOff>1650</xdr:rowOff>
    </xdr:from>
    <xdr:to>
      <xdr:col>1</xdr:col>
      <xdr:colOff>258578</xdr:colOff>
      <xdr:row>1</xdr:row>
      <xdr:rowOff>176910</xdr:rowOff>
    </xdr:to>
    <xdr:sp macro="[0]!Show_chart1" textlink="">
      <xdr:nvSpPr>
        <xdr:cNvPr id="13" name="Rectangle 12" hidden="1">
          <a:extLst>
            <a:ext uri="{FF2B5EF4-FFF2-40B4-BE49-F238E27FC236}">
              <a16:creationId xmlns:a16="http://schemas.microsoft.com/office/drawing/2014/main" id="{5FA9EE73-A513-7996-4D79-FD13744B3BE3}"/>
            </a:ext>
          </a:extLst>
        </xdr:cNvPr>
        <xdr:cNvSpPr/>
      </xdr:nvSpPr>
      <xdr:spPr>
        <a:xfrm rot="2047546">
          <a:off x="1174502" y="1650"/>
          <a:ext cx="36576" cy="36576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600075</xdr:colOff>
      <xdr:row>11</xdr:row>
      <xdr:rowOff>76200</xdr:rowOff>
    </xdr:from>
    <xdr:to>
      <xdr:col>5</xdr:col>
      <xdr:colOff>28575</xdr:colOff>
      <xdr:row>21</xdr:row>
      <xdr:rowOff>19050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C7DCEAB-2549-0EC3-3D84-231FA030B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</xdr:colOff>
      <xdr:row>1</xdr:row>
      <xdr:rowOff>19050</xdr:rowOff>
    </xdr:from>
    <xdr:to>
      <xdr:col>3</xdr:col>
      <xdr:colOff>904875</xdr:colOff>
      <xdr:row>3</xdr:row>
      <xdr:rowOff>9525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F6178656-1A7A-4A42-906A-53DFB1A59935}"/>
            </a:ext>
          </a:extLst>
        </xdr:cNvPr>
        <xdr:cNvSpPr/>
      </xdr:nvSpPr>
      <xdr:spPr>
        <a:xfrm>
          <a:off x="1" y="19050"/>
          <a:ext cx="904874" cy="371475"/>
        </a:xfrm>
        <a:prstGeom prst="rightArrow">
          <a:avLst>
            <a:gd name="adj1" fmla="val 50000"/>
            <a:gd name="adj2" fmla="val 958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>
    <xdr:from>
      <xdr:col>4</xdr:col>
      <xdr:colOff>1704975</xdr:colOff>
      <xdr:row>1</xdr:row>
      <xdr:rowOff>0</xdr:rowOff>
    </xdr:from>
    <xdr:to>
      <xdr:col>4</xdr:col>
      <xdr:colOff>2647951</xdr:colOff>
      <xdr:row>2</xdr:row>
      <xdr:rowOff>180975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DFFA47FE-EAD2-4078-9FE2-AA5B72E88618}"/>
            </a:ext>
          </a:extLst>
        </xdr:cNvPr>
        <xdr:cNvSpPr/>
      </xdr:nvSpPr>
      <xdr:spPr>
        <a:xfrm flipH="1">
          <a:off x="2657475" y="0"/>
          <a:ext cx="942976" cy="371475"/>
        </a:xfrm>
        <a:prstGeom prst="rightArrow">
          <a:avLst>
            <a:gd name="adj1" fmla="val 50000"/>
            <a:gd name="adj2" fmla="val 958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Records</a:t>
          </a:r>
        </a:p>
      </xdr:txBody>
    </xdr:sp>
    <xdr:clientData/>
  </xdr:twoCellAnchor>
  <xdr:twoCellAnchor>
    <xdr:from>
      <xdr:col>4</xdr:col>
      <xdr:colOff>1133476</xdr:colOff>
      <xdr:row>1</xdr:row>
      <xdr:rowOff>47625</xdr:rowOff>
    </xdr:from>
    <xdr:to>
      <xdr:col>4</xdr:col>
      <xdr:colOff>1676400</xdr:colOff>
      <xdr:row>2</xdr:row>
      <xdr:rowOff>152400</xdr:rowOff>
    </xdr:to>
    <xdr:sp macro="" textlink="$C$2">
      <xdr:nvSpPr>
        <xdr:cNvPr id="17" name="Rectangle 16">
          <a:extLst>
            <a:ext uri="{FF2B5EF4-FFF2-40B4-BE49-F238E27FC236}">
              <a16:creationId xmlns:a16="http://schemas.microsoft.com/office/drawing/2014/main" id="{7C8F576D-2041-442C-82D7-C5AE2559DE31}"/>
            </a:ext>
          </a:extLst>
        </xdr:cNvPr>
        <xdr:cNvSpPr/>
      </xdr:nvSpPr>
      <xdr:spPr>
        <a:xfrm>
          <a:off x="6553201" y="238125"/>
          <a:ext cx="542924" cy="2952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775453F6-505B-4361-BCB0-A83C6FDE8137}" type="TxLink">
            <a:rPr lang="en-US" sz="20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7</a:t>
          </a:fld>
          <a:endParaRPr lang="en-US" sz="20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1</xdr:row>
          <xdr:rowOff>66675</xdr:rowOff>
        </xdr:from>
        <xdr:to>
          <xdr:col>4</xdr:col>
          <xdr:colOff>1314450</xdr:colOff>
          <xdr:row>2</xdr:row>
          <xdr:rowOff>133350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D6C41DAA-59FB-4194-91F7-74F7090E9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1019175</xdr:colOff>
      <xdr:row>1</xdr:row>
      <xdr:rowOff>28575</xdr:rowOff>
    </xdr:from>
    <xdr:ext cx="444752" cy="328369"/>
    <xdr:pic macro="[0]!hide_chart2">
      <xdr:nvPicPr>
        <xdr:cNvPr id="18" name="Picture 17">
          <a:extLst>
            <a:ext uri="{FF2B5EF4-FFF2-40B4-BE49-F238E27FC236}">
              <a16:creationId xmlns:a16="http://schemas.microsoft.com/office/drawing/2014/main" id="{6D7CA183-2F20-48EA-8731-EA931B0C6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0" y="219075"/>
          <a:ext cx="444752" cy="328369"/>
        </a:xfrm>
        <a:prstGeom prst="rect">
          <a:avLst/>
        </a:prstGeom>
      </xdr:spPr>
    </xdr:pic>
    <xdr:clientData/>
  </xdr:oneCellAnchor>
  <xdr:twoCellAnchor>
    <xdr:from>
      <xdr:col>4</xdr:col>
      <xdr:colOff>202952</xdr:colOff>
      <xdr:row>1</xdr:row>
      <xdr:rowOff>1651</xdr:rowOff>
    </xdr:from>
    <xdr:to>
      <xdr:col>4</xdr:col>
      <xdr:colOff>239528</xdr:colOff>
      <xdr:row>2</xdr:row>
      <xdr:rowOff>176911</xdr:rowOff>
    </xdr:to>
    <xdr:sp macro="[0]!Show_chart1" textlink="">
      <xdr:nvSpPr>
        <xdr:cNvPr id="19" name="Rectangle 18" hidden="1">
          <a:extLst>
            <a:ext uri="{FF2B5EF4-FFF2-40B4-BE49-F238E27FC236}">
              <a16:creationId xmlns:a16="http://schemas.microsoft.com/office/drawing/2014/main" id="{91516A31-0FF2-4783-952B-456EE3D389F5}"/>
            </a:ext>
          </a:extLst>
        </xdr:cNvPr>
        <xdr:cNvSpPr/>
      </xdr:nvSpPr>
      <xdr:spPr>
        <a:xfrm rot="2047546">
          <a:off x="1155452" y="1651"/>
          <a:ext cx="36576" cy="36576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1028700</xdr:colOff>
      <xdr:row>1</xdr:row>
      <xdr:rowOff>171450</xdr:rowOff>
    </xdr:from>
    <xdr:to>
      <xdr:col>4</xdr:col>
      <xdr:colOff>238125</xdr:colOff>
      <xdr:row>2</xdr:row>
      <xdr:rowOff>26669</xdr:rowOff>
    </xdr:to>
    <xdr:sp macro="[0]!Show_chart2" textlink="">
      <xdr:nvSpPr>
        <xdr:cNvPr id="20" name="Rectangle 19" hidden="1">
          <a:extLst>
            <a:ext uri="{FF2B5EF4-FFF2-40B4-BE49-F238E27FC236}">
              <a16:creationId xmlns:a16="http://schemas.microsoft.com/office/drawing/2014/main" id="{783BA72A-60B1-CADF-DCEC-F65E488FCE84}"/>
            </a:ext>
          </a:extLst>
        </xdr:cNvPr>
        <xdr:cNvSpPr/>
      </xdr:nvSpPr>
      <xdr:spPr>
        <a:xfrm rot="19367357">
          <a:off x="5248275" y="361950"/>
          <a:ext cx="409575" cy="4571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2362200</xdr:colOff>
          <xdr:row>11</xdr:row>
          <xdr:rowOff>133350</xdr:rowOff>
        </xdr:from>
        <xdr:to>
          <xdr:col>4</xdr:col>
          <xdr:colOff>2495550</xdr:colOff>
          <xdr:row>13</xdr:row>
          <xdr:rowOff>9525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D6C41DAA-59FB-4194-91F7-74F7090E9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4.666899074073" createdVersion="8" refreshedVersion="8" minRefreshableVersion="3" recordCount="149" xr:uid="{B515049E-38B1-4752-9C35-CDC245761233}">
  <cacheSource type="worksheet">
    <worksheetSource ref="A1:G150" sheet="Summary"/>
  </cacheSource>
  <cacheFields count="7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8:15:43"/>
    <d v="1899-12-30T04:57:59"/>
    <d v="1899-12-30T01:08:42"/>
    <n v="98"/>
    <n v="0.55697138822580095"/>
  </r>
  <r>
    <x v="1"/>
    <x v="1"/>
    <d v="1899-12-30T08:15:36"/>
    <d v="1899-12-30T04:58:34"/>
    <d v="1899-12-30T01:09:59"/>
    <n v="23"/>
    <n v="0.58027306967984904"/>
  </r>
  <r>
    <x v="2"/>
    <x v="2"/>
    <d v="1899-12-30T08:16:57"/>
    <d v="1899-12-30T04:49:35"/>
    <d v="1899-12-30T01:13:54"/>
    <n v="28"/>
    <n v="0.51708756749505302"/>
  </r>
  <r>
    <x v="3"/>
    <x v="3"/>
    <d v="1899-12-30T08:09:56"/>
    <d v="1899-12-30T04:17:32"/>
    <d v="1899-12-30T02:19:02"/>
    <n v="29"/>
    <n v="0.47720778337188702"/>
  </r>
  <r>
    <x v="4"/>
    <x v="4"/>
    <d v="1899-12-30T07:20:41"/>
    <d v="1899-12-30T03:19:44"/>
    <d v="1899-12-30T03:04:58"/>
    <n v="93"/>
    <n v="0.43288831738587802"/>
  </r>
  <r>
    <x v="5"/>
    <x v="5"/>
    <d v="1899-12-30T05:00:09"/>
    <d v="1899-12-30T03:41:19"/>
    <d v="1899-12-30T00:27:07"/>
    <n v="92"/>
    <n v="0.65495030262646503"/>
  </r>
  <r>
    <x v="6"/>
    <x v="6"/>
    <d v="1899-12-30T08:16:38"/>
    <d v="1899-12-30T04:12:46"/>
    <d v="1899-12-30T02:41:42"/>
    <n v="26"/>
    <n v="0.49476474931203401"/>
  </r>
  <r>
    <x v="7"/>
    <x v="7"/>
    <d v="1899-12-30T09:16:31"/>
    <d v="1899-12-30T05:52:08"/>
    <d v="1899-12-30T01:13:10"/>
    <n v="90"/>
    <n v="0.55128627474469205"/>
  </r>
  <r>
    <x v="8"/>
    <x v="8"/>
    <d v="1899-12-30T08:13:18"/>
    <d v="1899-12-30T04:52:29"/>
    <d v="1899-12-30T01:06:39"/>
    <n v="89"/>
    <n v="0.55206432867085597"/>
  </r>
  <r>
    <x v="9"/>
    <x v="9"/>
    <d v="1899-12-30T08:20:41"/>
    <d v="1899-12-30T04:58:07"/>
    <d v="1899-12-30T01:09:57"/>
    <n v="54"/>
    <n v="0.56868945774108703"/>
  </r>
  <r>
    <x v="10"/>
    <x v="10"/>
    <d v="1899-12-30T08:10:35"/>
    <d v="1899-12-30T04:55:28"/>
    <d v="1899-12-30T01:09:15"/>
    <n v="87"/>
    <n v="0.56035332087650802"/>
  </r>
  <r>
    <x v="11"/>
    <x v="11"/>
    <d v="1899-12-30T08:04:10"/>
    <d v="1899-12-30T03:47:42"/>
    <d v="1899-12-30T03:01:18"/>
    <n v="65"/>
    <n v="0.41552495697073999"/>
  </r>
  <r>
    <x v="12"/>
    <x v="12"/>
    <d v="1899-12-30T08:14:38"/>
    <d v="1899-12-30T04:43:40"/>
    <d v="1899-12-30T02:06:41"/>
    <n v="85"/>
    <n v="0.50026955994339195"/>
  </r>
  <r>
    <x v="13"/>
    <x v="13"/>
    <d v="1899-12-30T07:59:50"/>
    <d v="1899-12-30T04:40:27"/>
    <d v="1899-12-30T01:10:34"/>
    <n v="65"/>
    <n v="0.51396318166029897"/>
  </r>
  <r>
    <x v="14"/>
    <x v="14"/>
    <d v="1899-12-30T08:16:59"/>
    <d v="1899-12-30T04:57:35"/>
    <d v="1899-12-30T01:16:59"/>
    <n v="83"/>
    <n v="0.510580502364264"/>
  </r>
  <r>
    <x v="15"/>
    <x v="15"/>
    <d v="1899-12-30T08:17:15"/>
    <d v="1899-12-30T04:10:25"/>
    <d v="1899-12-30T02:24:20"/>
    <n v="82"/>
    <n v="0.48292274174627098"/>
  </r>
  <r>
    <x v="16"/>
    <x v="15"/>
    <d v="1899-12-30T07:53:01"/>
    <d v="1899-12-30T04:44:12"/>
    <d v="1899-12-30T00:56:29"/>
    <n v="81"/>
    <n v="0.57362319861879396"/>
  </r>
  <r>
    <x v="17"/>
    <x v="15"/>
    <d v="1899-12-30T08:16:43"/>
    <d v="1899-12-30T04:58:07"/>
    <d v="1899-12-30T01:10:07"/>
    <n v="80"/>
    <n v="0.56430560681810604"/>
  </r>
  <r>
    <x v="18"/>
    <x v="15"/>
    <d v="1899-12-30T08:21:16"/>
    <d v="1899-12-30T04:23:03"/>
    <d v="1899-12-30T02:40:10"/>
    <n v="79"/>
    <n v="0.46974331693044302"/>
  </r>
  <r>
    <x v="19"/>
    <x v="16"/>
    <d v="1899-12-30T08:17:52"/>
    <d v="1899-12-30T04:58:14"/>
    <d v="1899-12-30T01:14:30"/>
    <n v="78"/>
    <n v="0.57495313336904097"/>
  </r>
  <r>
    <x v="20"/>
    <x v="17"/>
    <d v="1899-12-30T08:13:41"/>
    <d v="1899-12-30T04:53:40"/>
    <d v="1899-12-30T01:06:59"/>
    <n v="77"/>
    <n v="0.57945376590932096"/>
  </r>
  <r>
    <x v="21"/>
    <x v="18"/>
    <d v="1899-12-30T08:17:34"/>
    <d v="1899-12-30T04:59:50"/>
    <d v="1899-12-30T01:09:47"/>
    <n v="76"/>
    <n v="0.588296375695049"/>
  </r>
  <r>
    <x v="22"/>
    <x v="19"/>
    <d v="1899-12-30T07:41:44"/>
    <d v="1899-12-30T04:08:57"/>
    <d v="1899-12-30T02:10:18"/>
    <n v="75"/>
    <n v="0.46267686976609901"/>
  </r>
  <r>
    <x v="23"/>
    <x v="20"/>
    <d v="1899-12-30T08:10:04"/>
    <d v="1899-12-30T04:14:05"/>
    <d v="1899-12-30T02:11:17"/>
    <n v="74"/>
    <n v="0.478030199972793"/>
  </r>
  <r>
    <x v="24"/>
    <x v="21"/>
    <d v="1899-12-30T08:14:20"/>
    <d v="1899-12-30T05:26:56"/>
    <d v="1899-12-30T01:12:54"/>
    <n v="73"/>
    <n v="0.59983142279163904"/>
  </r>
  <r>
    <x v="25"/>
    <x v="22"/>
    <d v="1899-12-30T07:35:57"/>
    <d v="1899-12-30T05:05:16"/>
    <d v="1899-12-30T00:30:30"/>
    <n v="72"/>
    <n v="0.65029060203969702"/>
  </r>
  <r>
    <x v="26"/>
    <x v="23"/>
    <d v="1899-12-30T08:16:59"/>
    <d v="1899-12-30T04:56:45"/>
    <d v="1899-12-30T01:11:40"/>
    <n v="71"/>
    <n v="0.55001844461584903"/>
  </r>
  <r>
    <x v="27"/>
    <x v="24"/>
    <d v="1899-12-30T08:13:53"/>
    <d v="1899-12-30T05:06:20"/>
    <d v="1899-12-30T01:10:03"/>
    <n v="70"/>
    <n v="0.51334660682347399"/>
  </r>
  <r>
    <x v="28"/>
    <x v="25"/>
    <d v="1899-12-30T08:15:11"/>
    <d v="1899-12-30T04:11:43"/>
    <d v="1899-12-30T02:44:52"/>
    <n v="69"/>
    <n v="0.43603379219817601"/>
  </r>
  <r>
    <x v="29"/>
    <x v="26"/>
    <d v="1899-12-30T07:27:24"/>
    <d v="1899-12-30T04:35:28"/>
    <d v="1899-12-30T01:20:20"/>
    <n v="68"/>
    <n v="0.52954105200417201"/>
  </r>
  <r>
    <x v="30"/>
    <x v="27"/>
    <d v="1899-12-30T07:59:57"/>
    <d v="1899-12-30T05:14:16"/>
    <d v="1899-12-30T01:09:15"/>
    <n v="67"/>
    <n v="0.56446852102649603"/>
  </r>
  <r>
    <x v="31"/>
    <x v="28"/>
    <d v="1899-12-30T08:17:44"/>
    <d v="1899-12-30T05:05:03"/>
    <d v="1899-12-30T02:09:14"/>
    <n v="66"/>
    <n v="0.49789043664612898"/>
  </r>
  <r>
    <x v="32"/>
    <x v="29"/>
    <d v="1899-12-30T08:19:10"/>
    <d v="1899-12-30T04:59:15"/>
    <d v="1899-12-30T01:09:03"/>
    <n v="65"/>
    <n v="0.56270450751252099"/>
  </r>
  <r>
    <x v="33"/>
    <x v="30"/>
    <d v="1899-12-30T08:16:23"/>
    <d v="1899-12-30T05:02:08"/>
    <d v="1899-12-30T01:09:56"/>
    <n v="64"/>
    <n v="0.57680556021891705"/>
  </r>
  <r>
    <x v="34"/>
    <x v="31"/>
    <d v="1899-12-30T07:39:42"/>
    <d v="1899-12-30T04:32:56"/>
    <d v="1899-12-30T01:28:09"/>
    <n v="63"/>
    <n v="0.55728373576970502"/>
  </r>
  <r>
    <x v="35"/>
    <x v="32"/>
    <d v="1899-12-30T08:11:27"/>
    <d v="1899-12-30T04:07:41"/>
    <d v="1899-12-30T02:35:12"/>
    <n v="62"/>
    <n v="0.47590463594126198"/>
  </r>
  <r>
    <x v="36"/>
    <x v="33"/>
    <d v="1899-12-30T08:09:47"/>
    <d v="1899-12-30T04:51:30"/>
    <d v="1899-12-30T01:09:36"/>
    <n v="61"/>
    <n v="0.55636846224520997"/>
  </r>
  <r>
    <x v="37"/>
    <x v="34"/>
    <d v="1899-12-30T08:15:46"/>
    <d v="1899-12-30T04:56:12"/>
    <d v="1899-12-30T01:10:44"/>
    <n v="60"/>
    <n v="0.527970147246689"/>
  </r>
  <r>
    <x v="38"/>
    <x v="35"/>
    <d v="1899-12-30T08:15:19"/>
    <d v="1899-12-30T04:56:56"/>
    <d v="1899-12-30T01:10:27"/>
    <n v="59"/>
    <n v="0.565025741108382"/>
  </r>
  <r>
    <x v="39"/>
    <x v="36"/>
    <d v="1899-12-30T08:17:24"/>
    <d v="1899-12-30T05:25:18"/>
    <d v="1899-12-30T01:10:12"/>
    <n v="58"/>
    <n v="0.48579278917035301"/>
  </r>
  <r>
    <x v="40"/>
    <x v="37"/>
    <d v="1899-12-30T08:16:01"/>
    <d v="1899-12-30T04:58:27"/>
    <d v="1899-12-30T01:07:40"/>
    <n v="57"/>
    <n v="0.572258996673499"/>
  </r>
  <r>
    <x v="41"/>
    <x v="38"/>
    <d v="1899-12-30T08:00:08"/>
    <d v="1899-12-30T03:54:19"/>
    <d v="1899-12-30T02:24:54"/>
    <n v="56"/>
    <n v="0.46542627048042201"/>
  </r>
  <r>
    <x v="42"/>
    <x v="39"/>
    <d v="1899-12-30T05:01:37"/>
    <d v="1899-12-30T03:21:30"/>
    <d v="1899-12-30T00:15:00"/>
    <n v="55"/>
    <n v="0.64380836602751801"/>
  </r>
  <r>
    <x v="43"/>
    <x v="40"/>
    <d v="1899-12-30T08:26:46"/>
    <d v="1899-12-30T05:18:49"/>
    <d v="1899-12-30T01:09:45"/>
    <n v="54"/>
    <n v="0.57347234098533195"/>
  </r>
  <r>
    <x v="44"/>
    <x v="41"/>
    <d v="1899-12-30T07:53:25"/>
    <d v="1899-12-30T05:26:19"/>
    <d v="1899-12-30T00:56:19"/>
    <n v="53"/>
    <n v="0.64717479317021698"/>
  </r>
  <r>
    <x v="45"/>
    <x v="42"/>
    <d v="1899-12-30T08:01:28"/>
    <d v="1899-12-30T04:13:15"/>
    <d v="1899-12-30T02:10:24"/>
    <n v="52"/>
    <n v="0.50443090556632497"/>
  </r>
  <r>
    <x v="46"/>
    <x v="43"/>
    <d v="1899-12-30T08:21:34"/>
    <d v="1899-12-30T05:08:41"/>
    <d v="1899-12-30T01:09:28"/>
    <n v="51"/>
    <n v="0.55280122283511701"/>
  </r>
  <r>
    <x v="47"/>
    <x v="44"/>
    <d v="1899-12-30T08:15:28"/>
    <d v="1899-12-30T04:45:06"/>
    <d v="1899-12-30T01:09:45"/>
    <n v="50"/>
    <n v="0.55493137782561897"/>
  </r>
  <r>
    <x v="48"/>
    <x v="45"/>
    <d v="1899-12-30T07:59:19"/>
    <d v="1899-12-30T04:42:13"/>
    <d v="1899-12-30T01:10:11"/>
    <n v="49"/>
    <n v="0.55217497131332804"/>
  </r>
  <r>
    <x v="49"/>
    <x v="46"/>
    <d v="1899-12-30T04:56:13"/>
    <d v="1899-12-30T03:10:50"/>
    <d v="1899-12-30T00:18:10"/>
    <n v="48"/>
    <n v="0.58819557756147001"/>
  </r>
  <r>
    <x v="50"/>
    <x v="47"/>
    <d v="1899-12-30T07:45:23"/>
    <d v="1899-12-30T04:39:06"/>
    <d v="1899-12-30T01:14:44"/>
    <n v="47"/>
    <n v="0.55534863732407003"/>
  </r>
  <r>
    <x v="51"/>
    <x v="48"/>
    <d v="1899-12-30T08:00:13"/>
    <d v="1899-12-30T04:46:25"/>
    <d v="1899-12-30T01:10:04"/>
    <n v="46"/>
    <n v="0.55815083469267301"/>
  </r>
  <r>
    <x v="52"/>
    <x v="49"/>
    <d v="1899-12-30T08:09:49"/>
    <d v="1899-12-30T04:51:12"/>
    <d v="1899-12-30T01:10:09"/>
    <n v="45"/>
    <n v="0.53002824185919895"/>
  </r>
  <r>
    <x v="53"/>
    <x v="50"/>
    <d v="1899-12-30T08:14:05"/>
    <d v="1899-12-30T05:04:01"/>
    <d v="1899-12-30T01:10:39"/>
    <n v="44"/>
    <n v="0.54639905548996504"/>
  </r>
  <r>
    <x v="54"/>
    <x v="51"/>
    <d v="1899-12-30T07:41:28"/>
    <d v="1899-12-30T04:26:11"/>
    <d v="1899-12-30T01:10:46"/>
    <n v="43"/>
    <n v="0.52849609939323905"/>
  </r>
  <r>
    <x v="55"/>
    <x v="52"/>
    <d v="1899-12-30T08:00:44"/>
    <d v="1899-12-30T04:28:58"/>
    <d v="1899-12-30T01:09:53"/>
    <n v="42"/>
    <n v="0.53279711551795905"/>
  </r>
  <r>
    <x v="56"/>
    <x v="52"/>
    <d v="1899-12-30T07:55:23"/>
    <d v="1899-12-30T04:29:51"/>
    <d v="1899-12-30T01:15:59"/>
    <n v="41"/>
    <n v="0.53150089401535605"/>
  </r>
  <r>
    <x v="57"/>
    <x v="53"/>
    <d v="1899-12-30T08:10:04"/>
    <d v="1899-12-30T05:04:35"/>
    <d v="1899-12-30T01:11:39"/>
    <n v="40"/>
    <n v="0.58954564004897303"/>
  </r>
  <r>
    <x v="58"/>
    <x v="54"/>
    <d v="1899-12-30T08:05:29"/>
    <d v="1899-12-30T03:09:32"/>
    <d v="1899-12-30T03:34:45"/>
    <n v="39"/>
    <n v="0.34903360911806097"/>
  </r>
  <r>
    <x v="59"/>
    <x v="55"/>
    <d v="1899-12-30T08:14:51"/>
    <d v="1899-12-30T04:08:21"/>
    <d v="1899-12-30T02:12:24"/>
    <n v="38"/>
    <n v="0.47933717288067101"/>
  </r>
  <r>
    <x v="60"/>
    <x v="56"/>
    <d v="1899-12-30T05:15:35"/>
    <d v="1899-12-30T03:38:44"/>
    <d v="1899-12-30T00:15:35"/>
    <n v="37"/>
    <n v="0.62762080802746201"/>
  </r>
  <r>
    <x v="61"/>
    <x v="57"/>
    <d v="1899-12-30T08:12:10"/>
    <d v="1899-12-30T04:14:06"/>
    <d v="1899-12-30T02:13:07"/>
    <n v="36"/>
    <n v="0.47561801557737898"/>
  </r>
  <r>
    <x v="62"/>
    <x v="58"/>
    <d v="1899-12-30T08:00:32"/>
    <d v="1899-12-30T03:55:15"/>
    <d v="1899-12-30T02:38:29"/>
    <n v="35"/>
    <n v="0.43635543840177599"/>
  </r>
  <r>
    <x v="63"/>
    <x v="59"/>
    <d v="1899-12-30T07:55:35"/>
    <d v="1899-12-30T03:50:43"/>
    <d v="1899-12-30T02:24:38"/>
    <n v="34"/>
    <n v="0.451270369721395"/>
  </r>
  <r>
    <x v="64"/>
    <x v="60"/>
    <d v="1899-12-30T05:01:07"/>
    <d v="1899-12-30T03:13:40"/>
    <d v="1899-12-30T00:29:34"/>
    <n v="33"/>
    <n v="0.61244257486024201"/>
  </r>
  <r>
    <x v="65"/>
    <x v="61"/>
    <d v="1899-12-30T08:21:39"/>
    <d v="1899-12-30T04:43:39"/>
    <d v="1899-12-30T01:14:03"/>
    <n v="32"/>
    <n v="0.51755872288115901"/>
  </r>
  <r>
    <x v="66"/>
    <x v="62"/>
    <d v="1899-12-30T08:19:29"/>
    <d v="1899-12-30T04:54:19"/>
    <d v="1899-12-30T01:08:27"/>
    <n v="31"/>
    <n v="0.55550735760285597"/>
  </r>
  <r>
    <x v="67"/>
    <x v="63"/>
    <d v="1899-12-30T08:21:13"/>
    <d v="1899-12-30T04:36:09"/>
    <d v="1899-12-30T02:15:18"/>
    <n v="30"/>
    <n v="0.45535862734013899"/>
  </r>
  <r>
    <x v="68"/>
    <x v="64"/>
    <d v="1899-12-30T08:02:20"/>
    <d v="1899-12-30T04:44:15"/>
    <d v="1899-12-30T01:10:03"/>
    <n v="29"/>
    <n v="0.53445058742225304"/>
  </r>
  <r>
    <x v="69"/>
    <x v="65"/>
    <d v="1899-12-30T08:16:46"/>
    <d v="1899-12-30T04:58:45"/>
    <d v="1899-12-30T01:37:25"/>
    <n v="28"/>
    <n v="0.55914916459773201"/>
  </r>
  <r>
    <x v="70"/>
    <x v="66"/>
    <d v="1899-12-30T08:00:37"/>
    <d v="1899-12-30T04:44:56"/>
    <d v="1899-12-30T01:09:53"/>
    <n v="29"/>
    <n v="0.56847106148351101"/>
  </r>
  <r>
    <x v="71"/>
    <x v="67"/>
    <d v="1899-12-30T07:55:44"/>
    <d v="1899-12-30T04:26:21"/>
    <d v="1899-12-30T01:36:03"/>
    <n v="30"/>
    <n v="0.47509108744394601"/>
  </r>
  <r>
    <x v="72"/>
    <x v="68"/>
    <d v="1899-12-30T08:09:43"/>
    <d v="1899-12-30T04:02:05"/>
    <d v="1899-12-30T02:11:54"/>
    <n v="31"/>
    <n v="0.47578531804104401"/>
  </r>
  <r>
    <x v="73"/>
    <x v="69"/>
    <d v="1899-12-30T08:01:11"/>
    <d v="1899-12-30T04:02:50"/>
    <d v="1899-12-30T02:26:26"/>
    <n v="32"/>
    <n v="0.46898271622042897"/>
  </r>
  <r>
    <x v="74"/>
    <x v="70"/>
    <d v="1899-12-30T08:15:54"/>
    <d v="1899-12-30T04:26:54"/>
    <d v="1899-12-30T01:55:26"/>
    <n v="33"/>
    <n v="0.51361161524500898"/>
  </r>
  <r>
    <x v="75"/>
    <x v="71"/>
    <d v="1899-12-30T08:32:22"/>
    <d v="1899-12-30T05:11:39"/>
    <d v="1899-12-30T01:38:42"/>
    <n v="34"/>
    <n v="0.525112224318522"/>
  </r>
  <r>
    <x v="76"/>
    <x v="72"/>
    <d v="1899-12-30T08:21:49"/>
    <d v="1899-12-30T03:03:51"/>
    <d v="1899-12-30T04:11:26"/>
    <n v="35"/>
    <n v="0.348600086352918"/>
  </r>
  <r>
    <x v="77"/>
    <x v="73"/>
    <d v="1899-12-30T08:25:20"/>
    <d v="1899-12-30T02:54:03"/>
    <d v="1899-12-30T04:21:06"/>
    <n v="36"/>
    <n v="0.314709762532982"/>
  </r>
  <r>
    <x v="78"/>
    <x v="74"/>
    <d v="1899-12-30T08:08:02"/>
    <d v="1899-12-30T05:10:46"/>
    <d v="1899-12-30T01:10:25"/>
    <n v="37"/>
    <n v="0.55600710333993597"/>
  </r>
  <r>
    <x v="79"/>
    <x v="75"/>
    <d v="1899-12-30T08:19:20"/>
    <d v="1899-12-30T04:08:46"/>
    <d v="1899-12-30T02:37:28"/>
    <n v="38"/>
    <n v="0.46221628838451301"/>
  </r>
  <r>
    <x v="80"/>
    <x v="76"/>
    <d v="1899-12-30T08:25:36"/>
    <d v="1899-12-30T03:40:53"/>
    <d v="1899-12-30T03:20:01"/>
    <n v="39"/>
    <n v="0.39075685654008402"/>
  </r>
  <r>
    <x v="81"/>
    <x v="77"/>
    <d v="1899-12-30T08:16:26"/>
    <d v="1899-12-30T05:16:03"/>
    <d v="1899-12-30T01:08:32"/>
    <n v="40"/>
    <n v="0.54713623850130899"/>
  </r>
  <r>
    <x v="82"/>
    <x v="78"/>
    <d v="1899-12-30T07:36:07"/>
    <d v="1899-12-30T05:07:23"/>
    <d v="1899-12-30T00:30:20"/>
    <n v="41"/>
    <n v="0.61457229509993805"/>
  </r>
  <r>
    <x v="83"/>
    <x v="79"/>
    <d v="1899-12-30T08:09:57"/>
    <d v="1899-12-30T05:03:51"/>
    <d v="1899-12-30T01:08:44"/>
    <n v="42"/>
    <n v="0.55335578460387103"/>
  </r>
  <r>
    <x v="84"/>
    <x v="80"/>
    <d v="1899-12-30T08:04:00"/>
    <d v="1899-12-30T05:05:29"/>
    <d v="1899-12-30T01:08:24"/>
    <n v="43"/>
    <n v="0.611363636363636"/>
  </r>
  <r>
    <x v="85"/>
    <x v="81"/>
    <d v="1899-12-30T07:59:43"/>
    <d v="1899-12-30T04:28:51"/>
    <d v="1899-12-30T01:37:06"/>
    <n v="44"/>
    <n v="0.51217732689434703"/>
  </r>
  <r>
    <x v="86"/>
    <x v="82"/>
    <d v="1899-12-30T08:25:57"/>
    <d v="1899-12-30T04:58:12"/>
    <d v="1899-12-30T01:19:08"/>
    <n v="45"/>
    <n v="0.56029910728991705"/>
  </r>
  <r>
    <x v="87"/>
    <x v="83"/>
    <d v="1899-12-30T08:14:44"/>
    <d v="1899-12-30T03:55:22"/>
    <d v="1899-12-30T02:34:16"/>
    <n v="46"/>
    <n v="0.42891793558819602"/>
  </r>
  <r>
    <x v="88"/>
    <x v="84"/>
    <d v="1899-12-30T08:22:34"/>
    <d v="1899-12-30T00:48:33"/>
    <d v="1899-12-30T07:08:19"/>
    <n v="47"/>
    <n v="9.4547987000066294E-2"/>
  </r>
  <r>
    <x v="89"/>
    <x v="85"/>
    <d v="1899-12-30T08:00:39"/>
    <d v="1899-12-30T05:11:50"/>
    <d v="1899-12-30T01:12:04"/>
    <n v="48"/>
    <n v="0.61021533340268397"/>
  </r>
  <r>
    <x v="90"/>
    <x v="85"/>
    <d v="1899-12-30T08:17:39"/>
    <d v="1899-12-30T04:49:40"/>
    <d v="1899-12-30T02:06:35"/>
    <n v="49"/>
    <n v="0.51260926353863201"/>
  </r>
  <r>
    <x v="91"/>
    <x v="86"/>
    <d v="1899-12-30T05:04:31"/>
    <d v="1899-12-30T03:24:21"/>
    <d v="1899-12-30T00:24:27"/>
    <n v="50"/>
    <n v="0.62426796562859199"/>
  </r>
  <r>
    <x v="92"/>
    <x v="87"/>
    <d v="1899-12-30T08:10:41"/>
    <d v="1899-12-30T04:44:35"/>
    <d v="1899-12-30T01:09:28"/>
    <n v="51"/>
    <n v="0.54373153085832704"/>
  </r>
  <r>
    <x v="93"/>
    <x v="88"/>
    <d v="1899-12-30T08:15:13"/>
    <e v="#VALUE!"/>
    <d v="1899-12-30T08:15:09"/>
    <n v="52"/>
    <n v="0"/>
  </r>
  <r>
    <x v="94"/>
    <x v="89"/>
    <d v="1899-12-30T08:02:52"/>
    <d v="1899-12-30T01:13:06"/>
    <d v="1899-12-30T06:39:44"/>
    <n v="53"/>
    <n v="0.14431174927516199"/>
  </r>
  <r>
    <x v="95"/>
    <x v="90"/>
    <d v="1899-12-30T08:19:26"/>
    <d v="1899-12-30T04:53:04"/>
    <d v="1899-12-30T01:13:46"/>
    <n v="54"/>
    <n v="0.55259293866381898"/>
  </r>
  <r>
    <x v="96"/>
    <x v="91"/>
    <d v="1899-12-30T08:02:10"/>
    <d v="1899-12-30T01:36:08"/>
    <d v="1899-12-30T05:45:13"/>
    <n v="55"/>
    <n v="0.18938817836156199"/>
  </r>
  <r>
    <x v="97"/>
    <x v="92"/>
    <d v="1899-12-30T08:20:42"/>
    <d v="1899-12-30T04:16:57"/>
    <d v="1899-12-30T02:04:58"/>
    <n v="56"/>
    <n v="0.47077424938419499"/>
  </r>
  <r>
    <x v="98"/>
    <x v="93"/>
    <d v="1899-12-30T08:00:44"/>
    <d v="1899-12-30T04:47:03"/>
    <d v="1899-12-30T01:11:14"/>
    <n v="57"/>
    <n v="0.53862155040909698"/>
  </r>
  <r>
    <x v="99"/>
    <x v="94"/>
    <d v="1899-12-30T08:01:53"/>
    <d v="1899-12-30T04:38:57"/>
    <d v="1899-12-30T01:09:28"/>
    <n v="58"/>
    <n v="0.53294365856189296"/>
  </r>
  <r>
    <x v="100"/>
    <x v="95"/>
    <d v="1899-12-30T05:53:52"/>
    <d v="1899-12-30T02:53:07"/>
    <d v="1899-12-30T02:41:42"/>
    <n v="59"/>
    <n v="0.41310286360211002"/>
  </r>
  <r>
    <x v="101"/>
    <x v="96"/>
    <d v="1899-12-30T08:16:02"/>
    <d v="1899-12-30T04:22:52"/>
    <d v="1899-12-30T01:50:37"/>
    <n v="60"/>
    <n v="0.50483838451717"/>
  </r>
  <r>
    <x v="102"/>
    <x v="97"/>
    <d v="1899-12-30T08:15:42"/>
    <d v="1899-12-30T04:25:29"/>
    <d v="1899-12-30T01:36:57"/>
    <n v="61"/>
    <n v="0.52390558805729304"/>
  </r>
  <r>
    <x v="103"/>
    <x v="98"/>
    <d v="1899-12-30T08:16:30"/>
    <d v="1899-12-30T02:30:29"/>
    <d v="1899-12-30T05:07:55"/>
    <n v="62"/>
    <n v="0.25444780127559602"/>
  </r>
  <r>
    <x v="104"/>
    <x v="99"/>
    <d v="1899-12-30T08:01:48"/>
    <d v="1899-12-30T04:52:13"/>
    <d v="1899-12-30T01:13:20"/>
    <n v="63"/>
    <n v="0.55517503805174995"/>
  </r>
  <r>
    <x v="105"/>
    <x v="100"/>
    <d v="1899-12-30T08:17:09"/>
    <e v="#VALUE!"/>
    <d v="1899-12-30T08:17:00"/>
    <n v="64"/>
    <n v="0"/>
  </r>
  <r>
    <x v="106"/>
    <x v="101"/>
    <d v="1899-12-30T08:15:43"/>
    <d v="1899-12-30T04:08:30"/>
    <d v="1899-12-30T02:10:16"/>
    <n v="65"/>
    <n v="0.477120667047709"/>
  </r>
  <r>
    <x v="107"/>
    <x v="102"/>
    <d v="1899-12-30T08:31:02"/>
    <d v="1899-12-30T05:35:38"/>
    <d v="1899-12-30T00:53:47"/>
    <n v="66"/>
    <n v="0.61917030852521004"/>
  </r>
  <r>
    <x v="108"/>
    <x v="103"/>
    <d v="1899-12-30T08:00:11"/>
    <d v="1899-12-30T04:52:11"/>
    <d v="1899-12-30T01:09:24"/>
    <n v="67"/>
    <n v="0.55305265350039901"/>
  </r>
  <r>
    <x v="109"/>
    <x v="104"/>
    <d v="1899-12-30T08:15:48"/>
    <d v="1899-12-30T05:00:37"/>
    <d v="1899-12-30T01:08:40"/>
    <n v="68"/>
    <n v="0.56195374478956595"/>
  </r>
  <r>
    <x v="110"/>
    <x v="105"/>
    <d v="1899-12-30T08:15:56"/>
    <d v="1899-12-30T04:37:42"/>
    <d v="1899-12-30T01:59:29"/>
    <n v="69"/>
    <n v="0.48780077967468699"/>
  </r>
  <r>
    <x v="111"/>
    <x v="106"/>
    <d v="1899-12-30T08:15:52"/>
    <d v="1899-12-30T05:00:14"/>
    <d v="1899-12-30T01:09:43"/>
    <n v="70"/>
    <n v="0.55414762032804499"/>
  </r>
  <r>
    <x v="112"/>
    <x v="107"/>
    <d v="1899-12-30T08:02:17"/>
    <d v="1899-12-30T05:06:07"/>
    <d v="1899-12-30T01:10:15"/>
    <n v="71"/>
    <n v="0.58651553374572396"/>
  </r>
  <r>
    <x v="113"/>
    <x v="108"/>
    <d v="1899-12-30T08:15:58"/>
    <d v="1899-12-30T05:19:44"/>
    <d v="1899-12-30T01:13:56"/>
    <n v="72"/>
    <n v="0.58165871362322696"/>
  </r>
  <r>
    <x v="114"/>
    <x v="109"/>
    <d v="1899-12-30T08:00:32"/>
    <d v="1899-12-30T05:03:10"/>
    <d v="1899-12-30T01:09:48"/>
    <n v="73"/>
    <n v="0.59073251942286398"/>
  </r>
  <r>
    <x v="115"/>
    <x v="109"/>
    <d v="1899-12-30T08:17:04"/>
    <d v="1899-12-30T05:09:57"/>
    <d v="1899-12-30T01:10:58"/>
    <n v="74"/>
    <n v="0.58640692060085797"/>
  </r>
  <r>
    <x v="116"/>
    <x v="109"/>
    <d v="1899-12-30T08:02:59"/>
    <d v="1899-12-30T04:44:19"/>
    <d v="1899-12-30T01:12:01"/>
    <n v="75"/>
    <n v="0.54653369681493502"/>
  </r>
  <r>
    <x v="117"/>
    <x v="110"/>
    <d v="1899-12-30T08:04:14"/>
    <d v="1899-12-30T04:33:29"/>
    <d v="1899-12-30T01:32:37"/>
    <n v="76"/>
    <n v="0.53238796723342696"/>
  </r>
  <r>
    <x v="118"/>
    <x v="111"/>
    <d v="1899-12-30T08:01:59"/>
    <d v="1899-12-30T04:31:42"/>
    <d v="1899-12-30T01:45:37"/>
    <n v="77"/>
    <n v="0.47020989660776702"/>
  </r>
  <r>
    <x v="119"/>
    <x v="112"/>
    <d v="1899-12-30T08:09:14"/>
    <d v="1899-12-30T04:51:46"/>
    <d v="1899-12-30T01:08:46"/>
    <n v="78"/>
    <n v="0.54633099407235797"/>
  </r>
  <r>
    <x v="120"/>
    <x v="113"/>
    <d v="1899-12-30T08:17:38"/>
    <d v="1899-12-30T03:26:09"/>
    <d v="1899-12-30T03:43:06"/>
    <n v="79"/>
    <n v="0.38820416638756799"/>
  </r>
  <r>
    <x v="121"/>
    <x v="114"/>
    <d v="1899-12-30T07:57:56"/>
    <d v="1899-12-30T03:27:15"/>
    <d v="1899-12-30T03:15:05"/>
    <n v="80"/>
    <n v="0.40277584042404802"/>
  </r>
  <r>
    <x v="122"/>
    <x v="115"/>
    <d v="1899-12-30T08:14:55"/>
    <d v="1899-12-30T05:19:10"/>
    <d v="1899-12-30T01:09:59"/>
    <n v="81"/>
    <n v="0.54352584610203702"/>
  </r>
  <r>
    <x v="123"/>
    <x v="116"/>
    <d v="1899-12-30T08:30:57"/>
    <d v="1899-12-30T03:41:07"/>
    <d v="1899-12-30T00:55:39"/>
    <n v="82"/>
    <n v="0.28371986821932998"/>
  </r>
  <r>
    <x v="124"/>
    <x v="117"/>
    <d v="1899-12-30T08:49:34"/>
    <d v="1899-12-30T05:10:26"/>
    <d v="1899-12-30T01:41:30"/>
    <n v="83"/>
    <n v="0.56196890539434796"/>
  </r>
  <r>
    <x v="125"/>
    <x v="118"/>
    <d v="1899-12-30T08:25:43"/>
    <d v="1899-12-30T03:41:29"/>
    <d v="1899-12-30T03:23:49"/>
    <n v="84"/>
    <n v="0.40332201825791802"/>
  </r>
  <r>
    <x v="126"/>
    <x v="119"/>
    <d v="1899-12-30T08:11:40"/>
    <d v="1899-12-30T04:12:39"/>
    <d v="1899-12-30T02:17:48"/>
    <n v="85"/>
    <n v="0.43796610169491501"/>
  </r>
  <r>
    <x v="127"/>
    <x v="120"/>
    <d v="1899-12-30T08:17:17"/>
    <d v="1899-12-30T04:54:52"/>
    <d v="1899-12-30T01:19:32"/>
    <n v="86"/>
    <n v="0.55581995508931903"/>
  </r>
  <r>
    <x v="128"/>
    <x v="121"/>
    <d v="1899-12-30T08:15:36"/>
    <d v="1899-12-30T02:53:35"/>
    <d v="1899-12-30T04:35:37"/>
    <n v="87"/>
    <n v="0.326035781544256"/>
  </r>
  <r>
    <x v="129"/>
    <x v="122"/>
    <d v="1899-12-30T08:09:15"/>
    <d v="1899-12-30T05:06:25"/>
    <d v="1899-12-30T01:09:51"/>
    <n v="88"/>
    <n v="0.57404190086867701"/>
  </r>
  <r>
    <x v="130"/>
    <x v="123"/>
    <d v="1899-12-30T08:00:41"/>
    <d v="1899-12-30T04:11:10"/>
    <d v="1899-12-30T01:57:15"/>
    <n v="89"/>
    <n v="0.45359037481363301"/>
  </r>
  <r>
    <x v="131"/>
    <x v="124"/>
    <d v="1899-12-30T08:09:47"/>
    <d v="1899-12-30T02:38:49"/>
    <d v="1899-12-30T04:36:20"/>
    <n v="90"/>
    <n v="0.29689998979140397"/>
  </r>
  <r>
    <x v="132"/>
    <x v="125"/>
    <d v="1899-12-30T08:00:18"/>
    <d v="1899-12-30T04:35:36"/>
    <d v="1899-12-30T01:14:24"/>
    <n v="91"/>
    <n v="0.55729058227496697"/>
  </r>
  <r>
    <x v="133"/>
    <x v="126"/>
    <d v="1899-12-30T08:03:26"/>
    <d v="1899-12-30T02:58:37"/>
    <d v="1899-12-30T03:56:57"/>
    <n v="92"/>
    <n v="0.33279321519685601"/>
  </r>
  <r>
    <x v="134"/>
    <x v="126"/>
    <d v="1899-12-30T08:05:06"/>
    <d v="1899-12-30T04:05:03"/>
    <d v="1899-12-30T02:16:51"/>
    <n v="93"/>
    <n v="0.472308115165258"/>
  </r>
  <r>
    <x v="135"/>
    <x v="127"/>
    <d v="1899-12-30T08:05:25"/>
    <d v="1899-12-30T04:31:57"/>
    <d v="1899-12-30T02:06:43"/>
    <n v="94"/>
    <n v="0.51110729613733896"/>
  </r>
  <r>
    <x v="136"/>
    <x v="128"/>
    <d v="1899-12-30T08:14:02"/>
    <d v="1899-12-30T05:19:12"/>
    <d v="1899-12-30T01:08:15"/>
    <n v="95"/>
    <n v="0.58886040078267299"/>
  </r>
  <r>
    <x v="137"/>
    <x v="129"/>
    <d v="1899-12-30T07:29:10"/>
    <d v="1899-12-30T02:54:25"/>
    <d v="1899-12-30T03:46:52"/>
    <n v="96"/>
    <n v="0.34289424860853401"/>
  </r>
  <r>
    <x v="138"/>
    <x v="130"/>
    <d v="1899-12-30T08:33:53"/>
    <d v="1899-12-30T04:36:50"/>
    <d v="1899-12-30T02:17:05"/>
    <n v="97"/>
    <n v="0.497486459313074"/>
  </r>
  <r>
    <x v="139"/>
    <x v="131"/>
    <d v="1899-12-30T08:15:15"/>
    <d v="1899-12-30T04:50:07"/>
    <d v="1899-12-30T01:10:21"/>
    <n v="98"/>
    <n v="0.52431431936732298"/>
  </r>
  <r>
    <x v="140"/>
    <x v="132"/>
    <d v="1899-12-30T08:19:05"/>
    <d v="1899-12-30T02:59:39"/>
    <d v="1899-12-30T04:32:37"/>
    <n v="99"/>
    <n v="0.31066956086157999"/>
  </r>
  <r>
    <x v="141"/>
    <x v="133"/>
    <d v="1899-12-30T08:13:39"/>
    <d v="1899-12-30T05:24:05"/>
    <d v="1899-12-30T01:14:44"/>
    <n v="100"/>
    <n v="0.58462473412336702"/>
  </r>
  <r>
    <x v="142"/>
    <x v="134"/>
    <d v="1899-12-30T08:24:48"/>
    <d v="1899-12-30T02:52:08"/>
    <d v="1899-12-30T05:03:34"/>
    <n v="101"/>
    <n v="0.31685816164817698"/>
  </r>
  <r>
    <x v="143"/>
    <x v="135"/>
    <d v="1899-12-30T08:17:53"/>
    <d v="1899-12-30T04:51:52"/>
    <d v="1899-12-30T01:12:04"/>
    <n v="102"/>
    <n v="0.56375322197301903"/>
  </r>
  <r>
    <x v="144"/>
    <x v="136"/>
    <d v="1899-12-30T08:30:54"/>
    <d v="1899-12-30T05:15:36"/>
    <d v="1899-12-30T00:56:05"/>
    <n v="103"/>
    <n v="0.54779147908918902"/>
  </r>
  <r>
    <x v="145"/>
    <x v="137"/>
    <d v="1899-12-30T08:46:13"/>
    <d v="1899-12-30T03:36:51"/>
    <d v="1899-12-30T04:02:30"/>
    <n v="104"/>
    <n v="0.37965983593576802"/>
  </r>
  <r>
    <x v="146"/>
    <x v="138"/>
    <d v="1899-12-30T08:14:56"/>
    <d v="1899-12-30T05:15:14"/>
    <d v="1899-12-30T01:12:11"/>
    <n v="105"/>
    <n v="0.56529498922413801"/>
  </r>
  <r>
    <x v="147"/>
    <x v="139"/>
    <d v="1899-12-30T04:59:55"/>
    <d v="1899-12-30T03:08:41"/>
    <d v="1899-12-30T00:15:03"/>
    <n v="106"/>
    <n v="0.60261183662128404"/>
  </r>
  <r>
    <x v="148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25ECB-89B0-4DE4-A52E-A1267058120E}" name="PivotTable2" cacheId="3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D5:E12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showAll="0"/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17"/>
    </i>
    <i>
      <x v="126"/>
    </i>
  </rowItems>
  <colItems count="1">
    <i/>
  </colItems>
  <dataFields count="1">
    <dataField name="Emp Total Number of woking hours" fld="2" baseField="1" baseItem="52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90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67EB2-9260-4580-8472-702D40A93A49}" name="PivotTable1" cacheId="3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">
  <location ref="A4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52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85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6F09-8704-4A8F-83DA-C369D8E3905A}">
  <sheetPr codeName="Sheet1"/>
  <dimension ref="A1:I150"/>
  <sheetViews>
    <sheetView zoomScaleNormal="100" workbookViewId="0">
      <selection activeCell="B20" sqref="B20"/>
    </sheetView>
  </sheetViews>
  <sheetFormatPr defaultRowHeight="15" x14ac:dyDescent="0.25"/>
  <cols>
    <col min="1" max="1" width="31.7109375" bestFit="1" customWidth="1"/>
    <col min="2" max="2" width="8.42578125" bestFit="1" customWidth="1"/>
    <col min="3" max="3" width="13.28515625" bestFit="1" customWidth="1"/>
    <col min="4" max="4" width="9.5703125" bestFit="1" customWidth="1"/>
    <col min="5" max="6" width="8.42578125" bestFit="1" customWidth="1"/>
    <col min="7" max="7" width="16.28515625" bestFit="1" customWidth="1"/>
    <col min="8" max="8" width="11.7109375" bestFit="1" customWidth="1"/>
    <col min="9" max="9" width="17.710937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2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2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2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2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2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2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2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2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2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2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2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2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2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2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2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2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2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2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2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2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2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2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2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2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2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2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2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2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2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2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2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2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2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2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2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2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2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2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2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2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2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2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2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2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2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2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2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2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2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2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2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2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2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2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2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2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2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2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2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2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2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2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2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2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2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2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2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2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2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2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2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2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2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2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2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2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2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2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2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2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2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2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2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2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2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2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2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2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2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2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2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2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2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2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2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2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2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2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2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2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2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2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2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2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2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2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2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2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2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2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2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2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2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2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2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2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2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2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2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2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2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2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2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2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2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2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2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2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2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2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2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2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2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2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2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2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2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2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2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2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2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2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2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2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2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2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2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2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6FEBE-0731-4DD7-BC01-C95B3FCB5555}">
  <sheetPr codeName="Sheet2"/>
  <dimension ref="A1:Q150"/>
  <sheetViews>
    <sheetView workbookViewId="0">
      <selection activeCell="B15" sqref="B15"/>
    </sheetView>
  </sheetViews>
  <sheetFormatPr defaultRowHeight="15" x14ac:dyDescent="0.25"/>
  <cols>
    <col min="1" max="1" width="31.7109375" bestFit="1" customWidth="1"/>
    <col min="2" max="2" width="20" bestFit="1" customWidth="1"/>
    <col min="3" max="3" width="15.28515625" bestFit="1" customWidth="1"/>
    <col min="4" max="4" width="14.7109375" bestFit="1" customWidth="1"/>
    <col min="5" max="5" width="23.5703125" bestFit="1" customWidth="1"/>
    <col min="6" max="6" width="17.42578125" bestFit="1" customWidth="1"/>
    <col min="7" max="7" width="11.7109375" bestFit="1" customWidth="1"/>
    <col min="8" max="8" width="6.28515625" bestFit="1" customWidth="1"/>
    <col min="9" max="9" width="15" bestFit="1" customWidth="1"/>
    <col min="10" max="10" width="12" bestFit="1" customWidth="1"/>
    <col min="11" max="11" width="17.85546875" bestFit="1" customWidth="1"/>
    <col min="12" max="12" width="12.85546875" bestFit="1" customWidth="1"/>
    <col min="13" max="13" width="14.42578125" bestFit="1" customWidth="1"/>
    <col min="14" max="14" width="10.140625" bestFit="1" customWidth="1"/>
    <col min="15" max="15" width="16.5703125" bestFit="1" customWidth="1"/>
    <col min="16" max="16" width="14.85546875" bestFit="1" customWidth="1"/>
    <col min="17" max="17" width="7.85546875" bestFit="1" customWidth="1"/>
  </cols>
  <sheetData>
    <row r="1" spans="1:17" ht="15.75" customHeight="1" x14ac:dyDescent="0.2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2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2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2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2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2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2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2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2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2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2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2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2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2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2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2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2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2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2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2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2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2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2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2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2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2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2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2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2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2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2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2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2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2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2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2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2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2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2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2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2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2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2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2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2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2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2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2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2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2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2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2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2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2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2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2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2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2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2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2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2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2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2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2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2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2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2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2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2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2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2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2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2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2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2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2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2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2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2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2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2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2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2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2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2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2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2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2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2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2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2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2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2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2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2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2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2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2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2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2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2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2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2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2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2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2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2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2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2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2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2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2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2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2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2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2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2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2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2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2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2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2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2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2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2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2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2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2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2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2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2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2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2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2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2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2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2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2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2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2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2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2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2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2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2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2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2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2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2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2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E1F30-0ED0-429E-B52C-0A1CD9BE3BAE}">
  <sheetPr codeName="Sheet3"/>
  <dimension ref="A1:J150"/>
  <sheetViews>
    <sheetView workbookViewId="0">
      <selection activeCell="E14" sqref="E14"/>
    </sheetView>
  </sheetViews>
  <sheetFormatPr defaultRowHeight="15" x14ac:dyDescent="0.25"/>
  <cols>
    <col min="1" max="1" width="31.7109375" bestFit="1" customWidth="1"/>
    <col min="2" max="2" width="14.7109375" bestFit="1" customWidth="1"/>
    <col min="3" max="3" width="16.7109375" bestFit="1" customWidth="1"/>
    <col min="4" max="4" width="16.5703125" bestFit="1" customWidth="1"/>
    <col min="5" max="5" width="15" bestFit="1" customWidth="1"/>
    <col min="6" max="6" width="9.7109375" bestFit="1" customWidth="1"/>
    <col min="7" max="7" width="17.28515625" bestFit="1" customWidth="1"/>
    <col min="8" max="8" width="25.140625" bestFit="1" customWidth="1"/>
    <col min="9" max="9" width="23.140625" bestFit="1" customWidth="1"/>
    <col min="10" max="10" width="19.85546875" bestFit="1" customWidth="1"/>
  </cols>
  <sheetData>
    <row r="1" spans="1:10" ht="17.25" customHeight="1" x14ac:dyDescent="0.2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25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25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25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25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25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25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25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25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25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25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25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25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25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25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25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25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25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25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25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25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25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25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25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25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25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25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25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25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25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25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25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25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25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25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25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25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25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25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25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25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25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25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25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25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25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25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25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25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25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25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25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25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25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25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25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25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25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25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25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25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25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25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25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25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25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25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25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25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25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25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25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25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25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25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25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25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25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25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25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25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25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25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25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25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25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25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25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25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25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25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25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25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25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25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25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25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25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25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25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25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25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25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25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25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25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25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25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25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25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25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25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25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25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25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25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25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25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25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25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25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25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25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25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25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25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25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25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25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25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25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25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25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25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25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25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25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25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25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25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25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25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25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25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25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25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25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25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25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25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CC15B-99EA-4269-965F-7FD12265C1BA}">
  <sheetPr codeName="Sheet4"/>
  <dimension ref="A1:G150"/>
  <sheetViews>
    <sheetView topLeftCell="A17" zoomScale="145" zoomScaleNormal="145" workbookViewId="0">
      <selection activeCell="A29" sqref="A29"/>
    </sheetView>
  </sheetViews>
  <sheetFormatPr defaultRowHeight="15" x14ac:dyDescent="0.25"/>
  <cols>
    <col min="1" max="1" width="34.85546875" bestFit="1" customWidth="1"/>
    <col min="2" max="2" width="19.5703125" bestFit="1" customWidth="1"/>
    <col min="3" max="3" width="30.7109375" customWidth="1"/>
    <col min="4" max="4" width="13.42578125" bestFit="1" customWidth="1"/>
    <col min="5" max="5" width="23.28515625" bestFit="1" customWidth="1"/>
    <col min="6" max="6" width="12.7109375" bestFit="1" customWidth="1"/>
    <col min="7" max="7" width="14.85546875" bestFit="1" customWidth="1"/>
  </cols>
  <sheetData>
    <row r="1" spans="1:7" ht="13.5" customHeight="1" x14ac:dyDescent="0.25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25">
      <c r="A2" t="str">
        <f>'Break Data'!A2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TIMEVALUE(VLOOKUP(A2,EfficiencyData,2,0))</f>
        <v>0.34424768518518517</v>
      </c>
      <c r="D2" s="11">
        <f t="shared" ref="D2:D33" si="1">TIMEVALUE(VLOOKUP(A2,EfficiencyData,3,0))</f>
        <v>0.20693287037037036</v>
      </c>
      <c r="E2" s="11">
        <f t="shared" ref="E2:E33" si="2">TIMEVALUE(VLOOKUP(A2,BreakData,9,0))</f>
        <v>4.7708333333333332E-2</v>
      </c>
      <c r="F2">
        <f t="shared" ref="F2:F33" si="3">VLOOKUP(A2,PerformanceDate,2,0)</f>
        <v>98</v>
      </c>
      <c r="G2" s="13">
        <f t="shared" ref="G2:G33" si="4">VLOOKUP(A2,EfficiencyData,6,0)</f>
        <v>0.55697138822580095</v>
      </c>
    </row>
    <row r="3" spans="1:7" x14ac:dyDescent="0.25">
      <c r="A3" t="str">
        <f>'Break Data'!A3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0.20733796296296295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25">
      <c r="A4" t="str">
        <f>'Break Data'!A4</f>
        <v>Mum_Anamika Gupta (1008514)</v>
      </c>
      <c r="B4" t="str">
        <f t="shared" si="5"/>
        <v>Anamika Gupta</v>
      </c>
      <c r="C4" s="11">
        <f t="shared" si="0"/>
        <v>0.34510416666666671</v>
      </c>
      <c r="D4" s="11">
        <f t="shared" si="1"/>
        <v>0.20109953703703706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25">
      <c r="A5" t="str">
        <f>'Break Data'!A5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0.17884259259259261</v>
      </c>
      <c r="E5" s="11">
        <f t="shared" si="2"/>
        <v>9.6550925925925915E-2</v>
      </c>
      <c r="F5">
        <f t="shared" si="3"/>
        <v>29</v>
      </c>
      <c r="G5" s="12">
        <f t="shared" si="4"/>
        <v>0.47720778337188702</v>
      </c>
    </row>
    <row r="6" spans="1:7" x14ac:dyDescent="0.25">
      <c r="A6" t="str">
        <f>'Break Data'!A6</f>
        <v>Mum_Anil Kumar (1008516)</v>
      </c>
      <c r="B6" t="str">
        <f t="shared" si="5"/>
        <v>Anil Kumar</v>
      </c>
      <c r="C6" s="11">
        <f t="shared" si="0"/>
        <v>0.30603009259259256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25">
      <c r="A7" t="str">
        <f>'Break Data'!A7</f>
        <v>Mum_Anita Dixit (1008517)</v>
      </c>
      <c r="B7" t="str">
        <f t="shared" si="5"/>
        <v>Anita Dixit</v>
      </c>
      <c r="C7" s="11">
        <f t="shared" si="0"/>
        <v>0.20843750000000003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25">
      <c r="A8" t="str">
        <f>'Break Data'!A8</f>
        <v>Mum_Anita Ghore (1008518)</v>
      </c>
      <c r="B8" t="str">
        <f t="shared" si="5"/>
        <v>Anita Ghore</v>
      </c>
      <c r="C8" s="11">
        <f t="shared" si="0"/>
        <v>0.34488425925925931</v>
      </c>
      <c r="D8" s="11">
        <f t="shared" si="1"/>
        <v>0.17553240740740741</v>
      </c>
      <c r="E8" s="11">
        <f t="shared" si="2"/>
        <v>0.11229166666666668</v>
      </c>
      <c r="F8">
        <f t="shared" si="3"/>
        <v>26</v>
      </c>
      <c r="G8" s="12">
        <f t="shared" si="4"/>
        <v>0.49476474931203401</v>
      </c>
    </row>
    <row r="9" spans="1:7" x14ac:dyDescent="0.25">
      <c r="A9" t="str">
        <f>'Break Data'!A9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25">
      <c r="A10" t="str">
        <f>'Break Data'!A10</f>
        <v>Mum_Anjali Sahay (1008520)</v>
      </c>
      <c r="B10" t="str">
        <f t="shared" si="5"/>
        <v>Anjali Sahay</v>
      </c>
      <c r="C10" s="11">
        <f t="shared" si="0"/>
        <v>0.34256944444444448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25">
      <c r="A11" t="str">
        <f>'Break Data'!A11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4.8576388888888884E-2</v>
      </c>
      <c r="F11">
        <f t="shared" si="3"/>
        <v>54</v>
      </c>
      <c r="G11" s="12">
        <f t="shared" si="4"/>
        <v>0.56868945774108703</v>
      </c>
    </row>
    <row r="12" spans="1:7" x14ac:dyDescent="0.25">
      <c r="A12" t="str">
        <f>'Break Data'!A12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0.20518518518518516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25">
      <c r="A13" t="str">
        <f>'Break Data'!A13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25">
      <c r="A14" t="str">
        <f>'Break Data'!A14</f>
        <v>Mum_Anubhuti Gupta (1008524)</v>
      </c>
      <c r="B14" t="str">
        <f t="shared" si="5"/>
        <v>Anubhuti Gupta</v>
      </c>
      <c r="C14" s="11">
        <f t="shared" si="0"/>
        <v>0.34349537037037042</v>
      </c>
      <c r="D14" s="11">
        <f t="shared" si="1"/>
        <v>0.19699074074074074</v>
      </c>
      <c r="E14" s="11">
        <f t="shared" si="2"/>
        <v>8.7974537037037046E-2</v>
      </c>
      <c r="F14">
        <f t="shared" si="3"/>
        <v>85</v>
      </c>
      <c r="G14" s="12">
        <f t="shared" si="4"/>
        <v>0.50026955994339195</v>
      </c>
    </row>
    <row r="15" spans="1:7" x14ac:dyDescent="0.25">
      <c r="A15" t="str">
        <f>'Break Data'!A15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25">
      <c r="A16" t="str">
        <f>'Break Data'!A16</f>
        <v>Mum_Ashish Kumar (1008526)</v>
      </c>
      <c r="B16" t="str">
        <f t="shared" si="5"/>
        <v>Ashish Kumar</v>
      </c>
      <c r="C16" s="11">
        <f t="shared" si="0"/>
        <v>0.34512731481481485</v>
      </c>
      <c r="D16" s="11">
        <f t="shared" si="1"/>
        <v>0.2066550925925926</v>
      </c>
      <c r="E16" s="11">
        <f t="shared" si="2"/>
        <v>5.3460648148148153E-2</v>
      </c>
      <c r="F16">
        <f t="shared" si="3"/>
        <v>83</v>
      </c>
      <c r="G16" s="12">
        <f t="shared" si="4"/>
        <v>0.510580502364264</v>
      </c>
    </row>
    <row r="17" spans="1:7" x14ac:dyDescent="0.25">
      <c r="A17" t="str">
        <f>'Break Data'!A17</f>
        <v>Mum_Ashok Kumar (1008527)</v>
      </c>
      <c r="B17" t="str">
        <f t="shared" si="5"/>
        <v>Ashok Kumar</v>
      </c>
      <c r="C17" s="11">
        <f t="shared" si="0"/>
        <v>0.34531249999999997</v>
      </c>
      <c r="D17" s="11">
        <f t="shared" si="1"/>
        <v>0.17390046296296294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25">
      <c r="A18" t="str">
        <f>'Break Data'!A18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25">
      <c r="A19" t="str">
        <f>'Break Data'!A19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25">
      <c r="A20" t="str">
        <f>'Break Data'!A20</f>
        <v>Hyd_Ashok Kumar (1008530)</v>
      </c>
      <c r="B20" t="str">
        <f t="shared" si="5"/>
        <v>Ashok Kumar</v>
      </c>
      <c r="C20" s="11">
        <f t="shared" si="0"/>
        <v>0.34810185185185188</v>
      </c>
      <c r="D20" s="11">
        <f t="shared" si="1"/>
        <v>0.18267361111111111</v>
      </c>
      <c r="E20" s="11">
        <f t="shared" si="2"/>
        <v>0.11122685185185184</v>
      </c>
      <c r="F20">
        <f t="shared" si="3"/>
        <v>79</v>
      </c>
      <c r="G20" s="12">
        <f t="shared" si="4"/>
        <v>0.46974331693044302</v>
      </c>
    </row>
    <row r="21" spans="1:7" x14ac:dyDescent="0.25">
      <c r="A21" t="str">
        <f>'Break Data'!A21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5.1736111111111115E-2</v>
      </c>
      <c r="F21">
        <f t="shared" si="3"/>
        <v>78</v>
      </c>
      <c r="G21" s="12">
        <f t="shared" si="4"/>
        <v>0.57495313336904097</v>
      </c>
    </row>
    <row r="22" spans="1:7" x14ac:dyDescent="0.25">
      <c r="A22" t="str">
        <f>'Break Data'!A22</f>
        <v>Hyd_Atul Kumar (1008532)</v>
      </c>
      <c r="B22" t="str">
        <f t="shared" si="5"/>
        <v>Atul Kumar</v>
      </c>
      <c r="C22" s="11">
        <f t="shared" si="0"/>
        <v>0.3428356481481481</v>
      </c>
      <c r="D22" s="11">
        <f t="shared" si="1"/>
        <v>0.20393518518518516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25">
      <c r="A23" t="str">
        <f>'Break Data'!A23</f>
        <v>Hyd_Azam (1008533)</v>
      </c>
      <c r="B23" t="str">
        <f t="shared" si="5"/>
        <v>Azam</v>
      </c>
      <c r="C23" s="11">
        <f t="shared" si="0"/>
        <v>0.34553240740740737</v>
      </c>
      <c r="D23" s="11">
        <f t="shared" si="1"/>
        <v>0.20821759259259257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25">
      <c r="A24" t="str">
        <f>'Break Data'!A24</f>
        <v>Hyd_Bhagwat Singh (1008534)</v>
      </c>
      <c r="B24" t="str">
        <f t="shared" si="5"/>
        <v>Bhagwat Singh</v>
      </c>
      <c r="C24" s="11">
        <f t="shared" si="0"/>
        <v>0.32064814814814818</v>
      </c>
      <c r="D24" s="11">
        <f t="shared" si="1"/>
        <v>0.17288194444444446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25">
      <c r="A25" t="str">
        <f>'Break Data'!A25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9.116898148148149E-2</v>
      </c>
      <c r="F25">
        <f t="shared" si="3"/>
        <v>74</v>
      </c>
      <c r="G25" s="12">
        <f t="shared" si="4"/>
        <v>0.478030199972793</v>
      </c>
    </row>
    <row r="26" spans="1:7" x14ac:dyDescent="0.25">
      <c r="A26" t="str">
        <f>'Break Data'!A26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25">
      <c r="A27" t="str">
        <f>'Break Data'!A27</f>
        <v>Hyd_Deepak Kumar (1008537)</v>
      </c>
      <c r="B27" t="str">
        <f t="shared" si="5"/>
        <v>Deepak Kumar</v>
      </c>
      <c r="C27" s="11">
        <f t="shared" si="0"/>
        <v>0.31663194444444448</v>
      </c>
      <c r="D27" s="11">
        <f t="shared" si="1"/>
        <v>0.21199074074074076</v>
      </c>
      <c r="E27" s="11">
        <f t="shared" si="2"/>
        <v>2.1180555555555553E-2</v>
      </c>
      <c r="F27">
        <f t="shared" si="3"/>
        <v>72</v>
      </c>
      <c r="G27" s="12">
        <f t="shared" si="4"/>
        <v>0.65029060203969702</v>
      </c>
    </row>
    <row r="28" spans="1:7" x14ac:dyDescent="0.25">
      <c r="A28" t="str">
        <f>'Break Data'!A28</f>
        <v>Hyd_Deepika Nigam (1008538)</v>
      </c>
      <c r="B28" t="str">
        <f t="shared" si="5"/>
        <v>Deepika Nigam</v>
      </c>
      <c r="C28" s="11">
        <f t="shared" si="0"/>
        <v>0.34512731481481485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25">
      <c r="A29" t="str">
        <f>'Break Data'!A29</f>
        <v>Hyd_Dinesh Kumar (1008539)</v>
      </c>
      <c r="B29" t="str">
        <f t="shared" si="5"/>
        <v>Dinesh Kumar</v>
      </c>
      <c r="C29" s="11">
        <f t="shared" si="0"/>
        <v>0.34297453703703701</v>
      </c>
      <c r="D29" s="11">
        <f t="shared" si="1"/>
        <v>0.21273148148148147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25">
      <c r="A30" t="str">
        <f>'Break Data'!A30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25">
      <c r="A31" t="str">
        <f>'Break Data'!A31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5.5787037037037031E-2</v>
      </c>
      <c r="F31">
        <f t="shared" si="3"/>
        <v>68</v>
      </c>
      <c r="G31" s="12">
        <f t="shared" si="4"/>
        <v>0.52954105200417201</v>
      </c>
    </row>
    <row r="32" spans="1:7" x14ac:dyDescent="0.25">
      <c r="A32" t="str">
        <f>'Break Data'!A32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25">
      <c r="A33" t="str">
        <f>'Break Data'!A33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8.9745370370370378E-2</v>
      </c>
      <c r="F33">
        <f t="shared" si="3"/>
        <v>66</v>
      </c>
      <c r="G33" s="12">
        <f t="shared" si="4"/>
        <v>0.49789043664612898</v>
      </c>
    </row>
    <row r="34" spans="1:7" x14ac:dyDescent="0.25">
      <c r="A34" t="str">
        <f>'Break Data'!A34</f>
        <v>Hyd_Jagdish Chandra (1008544)</v>
      </c>
      <c r="B34" t="str">
        <f t="shared" si="5"/>
        <v>Jagdish Chandra</v>
      </c>
      <c r="C34" s="11">
        <f t="shared" ref="C34:C65" si="6">TIMEVALUE(VLOOKUP(A34,EfficiencyData,2,0))</f>
        <v>0.34664351851851855</v>
      </c>
      <c r="D34" s="11">
        <f t="shared" ref="D34:D65" si="7">TIMEVALUE(VLOOKUP(A34,EfficiencyData,3,0))</f>
        <v>0.20781249999999998</v>
      </c>
      <c r="E34" s="11">
        <f t="shared" ref="E34:E65" si="8">TIMEVALUE(VLOOKUP(A34,BreakData,9,0))</f>
        <v>4.7951388888888891E-2</v>
      </c>
      <c r="F34">
        <f t="shared" ref="F34:F65" si="9">VLOOKUP(A34,PerformanceDate,2,0)</f>
        <v>65</v>
      </c>
      <c r="G34" s="12">
        <f t="shared" ref="G34:G65" si="10">VLOOKUP(A34,EfficiencyData,6,0)</f>
        <v>0.56270450751252099</v>
      </c>
    </row>
    <row r="35" spans="1:7" x14ac:dyDescent="0.25">
      <c r="A35" t="str">
        <f>'Break Data'!A35</f>
        <v>Hyd_Jairaj Vatham (1008545)</v>
      </c>
      <c r="B35" t="str">
        <f t="shared" si="5"/>
        <v>Jairaj Vatham</v>
      </c>
      <c r="C35" s="11">
        <f t="shared" si="6"/>
        <v>0.34471064814814811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25">
      <c r="A36" t="str">
        <f>'Break Data'!A36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25">
      <c r="A37" t="str">
        <f>'Break Data'!A37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0.17200231481481479</v>
      </c>
      <c r="E37" s="11">
        <f t="shared" si="8"/>
        <v>0.10777777777777779</v>
      </c>
      <c r="F37">
        <f t="shared" si="9"/>
        <v>62</v>
      </c>
      <c r="G37" s="12">
        <f t="shared" si="10"/>
        <v>0.47590463594126198</v>
      </c>
    </row>
    <row r="38" spans="1:7" x14ac:dyDescent="0.25">
      <c r="A38" t="str">
        <f>'Break Data'!A38</f>
        <v>Hyd_John D'Costa (1008548)</v>
      </c>
      <c r="B38" t="str">
        <f t="shared" si="5"/>
        <v>John D'Costa</v>
      </c>
      <c r="C38" s="11">
        <f t="shared" si="6"/>
        <v>0.34012731481481479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25">
      <c r="A39" t="str">
        <f>'Break Data'!A39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0.20569444444444443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25">
      <c r="A40" t="str">
        <f>'Break Data'!A40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4.8923611111111105E-2</v>
      </c>
      <c r="F40">
        <f t="shared" si="9"/>
        <v>59</v>
      </c>
      <c r="G40" s="12">
        <f t="shared" si="10"/>
        <v>0.565025741108382</v>
      </c>
    </row>
    <row r="41" spans="1:7" x14ac:dyDescent="0.25">
      <c r="A41" t="str">
        <f>'Break Data'!A41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4.8749999999999995E-2</v>
      </c>
      <c r="F41">
        <f t="shared" si="9"/>
        <v>58</v>
      </c>
      <c r="G41" s="12">
        <f t="shared" si="10"/>
        <v>0.48579278917035301</v>
      </c>
    </row>
    <row r="42" spans="1:7" x14ac:dyDescent="0.25">
      <c r="A42" t="str">
        <f>'Break Data'!A42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25">
      <c r="A43" t="str">
        <f>'Break Data'!A43</f>
        <v>Hyd_Kalpana Agrawal (1008553)</v>
      </c>
      <c r="B43" t="str">
        <f t="shared" si="5"/>
        <v>Kalpana Agrawal</v>
      </c>
      <c r="C43" s="11">
        <f t="shared" si="6"/>
        <v>0.33342592592592596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25">
      <c r="A44" t="str">
        <f>'Break Data'!A44</f>
        <v>Hyd_Kamini Kumar (1008554)</v>
      </c>
      <c r="B44" t="str">
        <f t="shared" si="5"/>
        <v>Kamini Kumar</v>
      </c>
      <c r="C44" s="11">
        <f t="shared" si="6"/>
        <v>0.2094560185185185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25">
      <c r="A45" t="str">
        <f>'Break Data'!A45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0.22140046296296298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25">
      <c r="A46" t="str">
        <f>'Break Data'!A46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3.9108796296296301E-2</v>
      </c>
      <c r="F46">
        <f t="shared" si="9"/>
        <v>53</v>
      </c>
      <c r="G46" s="12">
        <f t="shared" si="10"/>
        <v>0.64717479317021698</v>
      </c>
    </row>
    <row r="47" spans="1:7" x14ac:dyDescent="0.25">
      <c r="A47" t="str">
        <f>'Break Data'!A47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0.17586805555555554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25">
      <c r="A48" t="str">
        <f>'Break Data'!A48</f>
        <v>Hyd_Kisun Sah (1008558)</v>
      </c>
      <c r="B48" t="str">
        <f t="shared" si="5"/>
        <v>Kisun Sah</v>
      </c>
      <c r="C48" s="11">
        <f t="shared" si="6"/>
        <v>0.34831018518518514</v>
      </c>
      <c r="D48" s="11">
        <f t="shared" si="7"/>
        <v>0.21436342592592594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25">
      <c r="A49" t="str">
        <f>'Break Data'!A49</f>
        <v>Hyd_Krishana Kumar (1008559)</v>
      </c>
      <c r="B49" t="str">
        <f t="shared" si="5"/>
        <v>Krishana Kumar</v>
      </c>
      <c r="C49" s="11">
        <f t="shared" si="6"/>
        <v>0.34407407407407403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25">
      <c r="A50" t="str">
        <f>'Break Data'!A50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0.19598379629629628</v>
      </c>
      <c r="E50" s="11">
        <f t="shared" si="8"/>
        <v>4.8738425925925921E-2</v>
      </c>
      <c r="F50">
        <f t="shared" si="9"/>
        <v>49</v>
      </c>
      <c r="G50" s="12">
        <f t="shared" si="10"/>
        <v>0.55217497131332804</v>
      </c>
    </row>
    <row r="51" spans="1:7" x14ac:dyDescent="0.25">
      <c r="A51" t="str">
        <f>'Break Data'!A51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25">
      <c r="A52" t="str">
        <f>'Break Data'!A52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5.1898148148148145E-2</v>
      </c>
      <c r="F52">
        <f t="shared" si="9"/>
        <v>47</v>
      </c>
      <c r="G52" s="12">
        <f t="shared" si="10"/>
        <v>0.55534863732407003</v>
      </c>
    </row>
    <row r="53" spans="1:7" x14ac:dyDescent="0.25">
      <c r="A53" t="str">
        <f>'Break Data'!A53</f>
        <v>Hyd_Mangal Singh (1008563)</v>
      </c>
      <c r="B53" t="str">
        <f t="shared" si="5"/>
        <v>Mangal Singh</v>
      </c>
      <c r="C53" s="11">
        <f t="shared" si="6"/>
        <v>0.33348379629629626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25">
      <c r="A54" t="str">
        <f>'Break Data'!A54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25">
      <c r="A55" t="str">
        <f>'Break Data'!A55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25">
      <c r="A56" t="str">
        <f>'Break Data'!A56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0.18484953703703702</v>
      </c>
      <c r="E56" s="11">
        <f t="shared" si="8"/>
        <v>4.9143518518518524E-2</v>
      </c>
      <c r="F56">
        <f t="shared" si="9"/>
        <v>43</v>
      </c>
      <c r="G56" s="12">
        <f t="shared" si="10"/>
        <v>0.52849609939323905</v>
      </c>
    </row>
    <row r="57" spans="1:7" x14ac:dyDescent="0.25">
      <c r="A57" t="str">
        <f>'Break Data'!A57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25">
      <c r="A58" t="str">
        <f>'Break Data'!A58</f>
        <v>Hyd_Manoj Kumar (1008568)</v>
      </c>
      <c r="B58" t="str">
        <f t="shared" si="5"/>
        <v>Manoj Kumar</v>
      </c>
      <c r="C58" s="11">
        <f t="shared" si="6"/>
        <v>0.33012731481481478</v>
      </c>
      <c r="D58" s="11">
        <f t="shared" si="7"/>
        <v>0.18739583333333332</v>
      </c>
      <c r="E58" s="11">
        <f t="shared" si="8"/>
        <v>5.2766203703703697E-2</v>
      </c>
      <c r="F58">
        <f t="shared" si="9"/>
        <v>41</v>
      </c>
      <c r="G58" s="12">
        <f t="shared" si="10"/>
        <v>0.53150089401535605</v>
      </c>
    </row>
    <row r="59" spans="1:7" x14ac:dyDescent="0.25">
      <c r="A59" t="str">
        <f>'Break Data'!A59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0.21151620370370372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25">
      <c r="A60" t="str">
        <f>'Break Data'!A60</f>
        <v>Hyd_Meena Zinjare (1008570)</v>
      </c>
      <c r="B60" t="str">
        <f t="shared" si="5"/>
        <v>Meena Zinjare</v>
      </c>
      <c r="C60" s="11">
        <f t="shared" si="6"/>
        <v>0.33714120370370365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25">
      <c r="A61" t="str">
        <f>'Break Data'!A61</f>
        <v>Hyd_Mehnaz Khan (1008571)</v>
      </c>
      <c r="B61" t="str">
        <f t="shared" si="5"/>
        <v>Mehnaz Khan</v>
      </c>
      <c r="C61" s="11">
        <f t="shared" si="6"/>
        <v>0.34364583333333337</v>
      </c>
      <c r="D61" s="11">
        <f t="shared" si="7"/>
        <v>0.17246527777777776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25">
      <c r="A62" t="str">
        <f>'Break Data'!A62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1.082175925925926E-2</v>
      </c>
      <c r="F62">
        <f t="shared" si="9"/>
        <v>37</v>
      </c>
      <c r="G62" s="12">
        <f t="shared" si="10"/>
        <v>0.62762080802746201</v>
      </c>
    </row>
    <row r="63" spans="1:7" x14ac:dyDescent="0.25">
      <c r="A63" t="str">
        <f>'Break Data'!A63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0.17645833333333336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25">
      <c r="A64" t="str">
        <f>'Break Data'!A64</f>
        <v>Hyd_Mohd Rafi (1008574)</v>
      </c>
      <c r="B64" t="str">
        <f t="shared" si="5"/>
        <v>Mohd Rafi</v>
      </c>
      <c r="C64" s="11">
        <f t="shared" si="6"/>
        <v>0.33370370370370367</v>
      </c>
      <c r="D64" s="11">
        <f t="shared" si="7"/>
        <v>0.16336805555555556</v>
      </c>
      <c r="E64" s="11">
        <f t="shared" si="8"/>
        <v>0.11005787037037036</v>
      </c>
      <c r="F64">
        <f t="shared" si="9"/>
        <v>35</v>
      </c>
      <c r="G64" s="12">
        <f t="shared" si="10"/>
        <v>0.43635543840177599</v>
      </c>
    </row>
    <row r="65" spans="1:7" x14ac:dyDescent="0.25">
      <c r="A65" t="str">
        <f>'Break Data'!A65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0.10043981481481483</v>
      </c>
      <c r="F65">
        <f t="shared" si="9"/>
        <v>34</v>
      </c>
      <c r="G65" s="12">
        <f t="shared" si="10"/>
        <v>0.451270369721395</v>
      </c>
    </row>
    <row r="66" spans="1:7" x14ac:dyDescent="0.25">
      <c r="A66" t="str">
        <f>'Break Data'!A66</f>
        <v>Hyd_Mukesh Nagar (1008576)</v>
      </c>
      <c r="B66" t="str">
        <f t="shared" si="5"/>
        <v>Mukesh Nagar</v>
      </c>
      <c r="C66" s="11">
        <f t="shared" ref="C66:C97" si="11">TIMEVALUE(VLOOKUP(A66,EfficiencyData,2,0))</f>
        <v>0.20910879629629631</v>
      </c>
      <c r="D66" s="11">
        <f t="shared" ref="D66:D97" si="12">TIMEVALUE(VLOOKUP(A66,EfficiencyData,3,0))</f>
        <v>0.13449074074074074</v>
      </c>
      <c r="E66" s="11">
        <f t="shared" ref="E66:E97" si="13">TIMEVALUE(VLOOKUP(A66,BreakData,9,0))</f>
        <v>2.0532407407407405E-2</v>
      </c>
      <c r="F66">
        <f t="shared" ref="F66:F97" si="14">VLOOKUP(A66,PerformanceDate,2,0)</f>
        <v>33</v>
      </c>
      <c r="G66" s="12">
        <f t="shared" ref="G66:G97" si="15">VLOOKUP(A66,EfficiencyData,6,0)</f>
        <v>0.61244257486024201</v>
      </c>
    </row>
    <row r="67" spans="1:7" x14ac:dyDescent="0.25">
      <c r="A67" t="str">
        <f>'Break Data'!A67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5.1423611111111107E-2</v>
      </c>
      <c r="F67">
        <f t="shared" si="14"/>
        <v>32</v>
      </c>
      <c r="G67" s="12">
        <f t="shared" si="15"/>
        <v>0.51755872288115901</v>
      </c>
    </row>
    <row r="68" spans="1:7" x14ac:dyDescent="0.25">
      <c r="A68" t="str">
        <f>'Break Data'!A68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0.2043865740740741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25">
      <c r="A69" t="str">
        <f>'Break Data'!A69</f>
        <v>Hyd_Neeraj Saxena (1008579)</v>
      </c>
      <c r="B69" t="str">
        <f t="shared" si="16"/>
        <v>Neeraj Saxena</v>
      </c>
      <c r="C69" s="11">
        <f t="shared" si="11"/>
        <v>0.3480671296296296</v>
      </c>
      <c r="D69" s="11">
        <f t="shared" si="12"/>
        <v>0.19177083333333333</v>
      </c>
      <c r="E69" s="11">
        <f t="shared" si="13"/>
        <v>9.3958333333333324E-2</v>
      </c>
      <c r="F69">
        <f t="shared" si="14"/>
        <v>30</v>
      </c>
      <c r="G69" s="12">
        <f t="shared" si="15"/>
        <v>0.45535862734013899</v>
      </c>
    </row>
    <row r="70" spans="1:7" x14ac:dyDescent="0.25">
      <c r="A70" t="str">
        <f>'Break Data'!A70</f>
        <v>Hyd_Neeru Mehta (1008580)</v>
      </c>
      <c r="B70" t="str">
        <f t="shared" si="16"/>
        <v>Neeru Mehta</v>
      </c>
      <c r="C70" s="11">
        <f t="shared" si="11"/>
        <v>0.33495370370370375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25">
      <c r="A71" t="str">
        <f>'Break Data'!A71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25">
      <c r="A72" t="str">
        <f>'Break Data'!A72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25">
      <c r="A73" t="str">
        <f>'Break Data'!A73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0.1849652777777778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25">
      <c r="A74" t="str">
        <f>'Break Data'!A74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25">
      <c r="A75" t="str">
        <f>'Break Data'!A75</f>
        <v>Hyd_Owais Mohd (1008585)</v>
      </c>
      <c r="B75" t="str">
        <f t="shared" si="16"/>
        <v>Owais Mohd</v>
      </c>
      <c r="C75" s="11">
        <f t="shared" si="11"/>
        <v>0.33415509259259263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25">
      <c r="A76" t="str">
        <f>'Break Data'!A76</f>
        <v>Hyd_Pankaj Shelkey (1008586)</v>
      </c>
      <c r="B76" t="str">
        <f t="shared" si="16"/>
        <v>Pankaj Shelkey</v>
      </c>
      <c r="C76" s="11">
        <f t="shared" si="11"/>
        <v>0.34437500000000004</v>
      </c>
      <c r="D76" s="11">
        <f t="shared" si="12"/>
        <v>0.18534722222222222</v>
      </c>
      <c r="E76" s="11">
        <f t="shared" si="13"/>
        <v>8.0162037037037046E-2</v>
      </c>
      <c r="F76">
        <f t="shared" si="14"/>
        <v>33</v>
      </c>
      <c r="G76" s="12">
        <f t="shared" si="15"/>
        <v>0.51361161524500898</v>
      </c>
    </row>
    <row r="77" spans="1:7" x14ac:dyDescent="0.25">
      <c r="A77" t="str">
        <f>'Break Data'!A77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25">
      <c r="A78" t="str">
        <f>'Break Data'!A78</f>
        <v>Hyd_Prabha Desikan (1008588)</v>
      </c>
      <c r="B78" t="str">
        <f t="shared" si="16"/>
        <v>Prabha Desikan</v>
      </c>
      <c r="C78" s="11">
        <f t="shared" si="11"/>
        <v>0.34848379629629633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25">
      <c r="A79" t="str">
        <f>'Break Data'!A79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25">
      <c r="A80" t="str">
        <f>'Break Data'!A80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0.21581018518518516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25">
      <c r="A81" t="str">
        <f>'Break Data'!A81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25">
      <c r="A82" t="str">
        <f>'Break Data'!A82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25">
      <c r="A83" t="str">
        <f>'Break Data'!A83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25">
      <c r="A84" t="str">
        <f>'Break Data'!A84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25">
      <c r="A85" t="str">
        <f>'Break Data'!A85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4.7731481481481486E-2</v>
      </c>
      <c r="F85">
        <f t="shared" si="14"/>
        <v>42</v>
      </c>
      <c r="G85" s="12">
        <f t="shared" si="15"/>
        <v>0.55335578460387103</v>
      </c>
    </row>
    <row r="86" spans="1:7" x14ac:dyDescent="0.25">
      <c r="A86" t="str">
        <f>'Break Data'!A86</f>
        <v>Hyd_Rajeev Garg (1008596)</v>
      </c>
      <c r="B86" t="str">
        <f t="shared" si="16"/>
        <v>Rajeev Garg</v>
      </c>
      <c r="C86" s="11">
        <f t="shared" si="11"/>
        <v>0.33611111111111108</v>
      </c>
      <c r="D86" s="11">
        <f t="shared" si="12"/>
        <v>0.21214120370370371</v>
      </c>
      <c r="E86" s="11">
        <f t="shared" si="13"/>
        <v>4.7500000000000007E-2</v>
      </c>
      <c r="F86">
        <f t="shared" si="14"/>
        <v>43</v>
      </c>
      <c r="G86" s="12">
        <f t="shared" si="15"/>
        <v>0.611363636363636</v>
      </c>
    </row>
    <row r="87" spans="1:7" x14ac:dyDescent="0.25">
      <c r="A87" t="str">
        <f>'Break Data'!A87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6.7430555555555563E-2</v>
      </c>
      <c r="F87">
        <f t="shared" si="14"/>
        <v>44</v>
      </c>
      <c r="G87" s="12">
        <f t="shared" si="15"/>
        <v>0.51217732689434703</v>
      </c>
    </row>
    <row r="88" spans="1:7" x14ac:dyDescent="0.25">
      <c r="A88" t="str">
        <f>'Break Data'!A88</f>
        <v>Hyd_Rajendra Gupta (1008598)</v>
      </c>
      <c r="B88" t="str">
        <f t="shared" si="16"/>
        <v>Rajendra Gupta</v>
      </c>
      <c r="C88" s="11">
        <f t="shared" si="11"/>
        <v>0.35135416666666663</v>
      </c>
      <c r="D88" s="11">
        <f t="shared" si="12"/>
        <v>0.20708333333333331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25">
      <c r="A89" t="str">
        <f>'Break Data'!A89</f>
        <v>Hyd_Rajendra Kumar (1008599)</v>
      </c>
      <c r="B89" t="str">
        <f t="shared" si="16"/>
        <v>Rajendra Kumar</v>
      </c>
      <c r="C89" s="11">
        <f t="shared" si="11"/>
        <v>0.34356481481481477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25">
      <c r="A90" t="str">
        <f>'Break Data'!A90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25">
      <c r="A91" t="str">
        <f>'Break Data'!A91</f>
        <v>Hyd_Rajesh Kumar (1008601)</v>
      </c>
      <c r="B91" t="str">
        <f t="shared" si="16"/>
        <v>Rajesh Kumar</v>
      </c>
      <c r="C91" s="11">
        <f t="shared" si="11"/>
        <v>0.33378472222222227</v>
      </c>
      <c r="D91" s="11">
        <f t="shared" si="12"/>
        <v>0.21655092592592592</v>
      </c>
      <c r="E91" s="11">
        <f t="shared" si="13"/>
        <v>5.004629629629629E-2</v>
      </c>
      <c r="F91">
        <f t="shared" si="14"/>
        <v>48</v>
      </c>
      <c r="G91" s="12">
        <f t="shared" si="15"/>
        <v>0.61021533340268397</v>
      </c>
    </row>
    <row r="92" spans="1:7" x14ac:dyDescent="0.25">
      <c r="A92" t="str">
        <f>'Break Data'!A92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25">
      <c r="A93" t="str">
        <f>'Break Data'!A93</f>
        <v>Hyd_Rajesh Sharma (1008603)</v>
      </c>
      <c r="B93" t="str">
        <f t="shared" si="16"/>
        <v>Rajesh Sharma</v>
      </c>
      <c r="C93" s="11">
        <f t="shared" si="11"/>
        <v>0.21146990740740743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25">
      <c r="A94" t="str">
        <f>'Break Data'!A94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25">
      <c r="A95" t="str">
        <f>'Break Data'!A95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0.34385416666666663</v>
      </c>
      <c r="F95">
        <f t="shared" si="14"/>
        <v>52</v>
      </c>
      <c r="G95" s="12">
        <f t="shared" si="15"/>
        <v>0</v>
      </c>
    </row>
    <row r="96" spans="1:7" x14ac:dyDescent="0.25">
      <c r="A96" t="str">
        <f>'Break Data'!A96</f>
        <v>Hyd_Rakhi Jodhani (1008606)</v>
      </c>
      <c r="B96" t="str">
        <f t="shared" si="16"/>
        <v>Rakhi Jodhani</v>
      </c>
      <c r="C96" s="11">
        <f t="shared" si="11"/>
        <v>0.33532407407407411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25">
      <c r="A97" t="str">
        <f>'Break Data'!A97</f>
        <v>Hyd_Ramji Prasad (1008607)</v>
      </c>
      <c r="B97" t="str">
        <f t="shared" si="16"/>
        <v>Ramji Prasad</v>
      </c>
      <c r="C97" s="11">
        <f t="shared" si="11"/>
        <v>0.34682870370370367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25">
      <c r="A98" t="str">
        <f>'Break Data'!A98</f>
        <v>Del_Rashid (1008608)</v>
      </c>
      <c r="B98" t="str">
        <f t="shared" si="16"/>
        <v>Rashid</v>
      </c>
      <c r="C98" s="11">
        <f t="shared" ref="C98:C129" si="17">TIMEVALUE(VLOOKUP(A98,EfficiencyData,2,0))</f>
        <v>0.33483796296296298</v>
      </c>
      <c r="D98" s="11">
        <f t="shared" ref="D98:D129" si="18">TIMEVALUE(VLOOKUP(A98,EfficiencyData,3,0))</f>
        <v>6.6759259259259254E-2</v>
      </c>
      <c r="E98" s="11">
        <f t="shared" ref="E98:E129" si="19">TIMEVALUE(VLOOKUP(A98,BreakData,9,0))</f>
        <v>0.23973379629629629</v>
      </c>
      <c r="F98">
        <f t="shared" ref="F98:F129" si="20">VLOOKUP(A98,PerformanceDate,2,0)</f>
        <v>55</v>
      </c>
      <c r="G98" s="12">
        <f t="shared" ref="G98:G129" si="21">VLOOKUP(A98,EfficiencyData,6,0)</f>
        <v>0.18938817836156199</v>
      </c>
    </row>
    <row r="99" spans="1:7" x14ac:dyDescent="0.25">
      <c r="A99" t="str">
        <f>'Break Data'!A99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25">
      <c r="A100" t="str">
        <f>'Break Data'!A100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25">
      <c r="A101" t="str">
        <f>'Break Data'!A101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25">
      <c r="A102" t="str">
        <f>'Break Data'!A102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</v>
      </c>
      <c r="E102" s="11">
        <f t="shared" si="19"/>
        <v>0.11229166666666668</v>
      </c>
      <c r="F102">
        <f t="shared" si="20"/>
        <v>59</v>
      </c>
      <c r="G102" s="12">
        <f t="shared" si="21"/>
        <v>0.41310286360211002</v>
      </c>
    </row>
    <row r="103" spans="1:7" x14ac:dyDescent="0.25">
      <c r="A103" t="str">
        <f>'Break Data'!A103</f>
        <v>Del_Rekha Gupta (1008613)</v>
      </c>
      <c r="B103" t="str">
        <f t="shared" si="16"/>
        <v>Rekha Gupta</v>
      </c>
      <c r="C103" s="11">
        <f t="shared" si="17"/>
        <v>0.34446759259259263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25">
      <c r="A104" t="str">
        <f>'Break Data'!A104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6.732638888888888E-2</v>
      </c>
      <c r="F104">
        <f t="shared" si="20"/>
        <v>61</v>
      </c>
      <c r="G104" s="12">
        <f t="shared" si="21"/>
        <v>0.52390558805729304</v>
      </c>
    </row>
    <row r="105" spans="1:7" x14ac:dyDescent="0.25">
      <c r="A105" t="str">
        <f>'Break Data'!A105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25">
      <c r="A106" t="str">
        <f>'Break Data'!A106</f>
        <v>Del_Ritu Bhatnagar (1008616)</v>
      </c>
      <c r="B106" t="str">
        <f t="shared" si="16"/>
        <v>Ritu Bhatnagar</v>
      </c>
      <c r="C106" s="11">
        <f t="shared" si="17"/>
        <v>0.33458333333333329</v>
      </c>
      <c r="D106" s="11">
        <f t="shared" si="18"/>
        <v>0.20292824074074076</v>
      </c>
      <c r="E106" s="11">
        <f t="shared" si="19"/>
        <v>5.092592592592593E-2</v>
      </c>
      <c r="F106">
        <f t="shared" si="20"/>
        <v>63</v>
      </c>
      <c r="G106" s="12">
        <f t="shared" si="21"/>
        <v>0.55517503805174995</v>
      </c>
    </row>
    <row r="107" spans="1:7" x14ac:dyDescent="0.25">
      <c r="A107" t="str">
        <f>'Break Data'!A107</f>
        <v>Del_Rohit Nishchal (1008617)</v>
      </c>
      <c r="B107" t="str">
        <f t="shared" si="16"/>
        <v>Rohit Nishchal</v>
      </c>
      <c r="C107" s="11">
        <f t="shared" si="17"/>
        <v>0.34524305555555551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25">
      <c r="A108" t="str">
        <f>'Break Data'!A108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25">
      <c r="A109" t="str">
        <f>'Break Data'!A109</f>
        <v>Del_Roma Rastogi (1008619)</v>
      </c>
      <c r="B109" t="str">
        <f t="shared" si="16"/>
        <v>Roma Rastogi</v>
      </c>
      <c r="C109" s="11">
        <f t="shared" si="17"/>
        <v>0.35488425925925932</v>
      </c>
      <c r="D109" s="11">
        <f t="shared" si="18"/>
        <v>0.23307870370370373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25">
      <c r="A110" t="str">
        <f>'Break Data'!A110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4.8194444444444449E-2</v>
      </c>
      <c r="F110">
        <f t="shared" si="20"/>
        <v>67</v>
      </c>
      <c r="G110" s="12">
        <f t="shared" si="21"/>
        <v>0.55305265350039901</v>
      </c>
    </row>
    <row r="111" spans="1:7" x14ac:dyDescent="0.25">
      <c r="A111" t="str">
        <f>'Break Data'!A111</f>
        <v>Del_Sajid Naqvi (1008621)</v>
      </c>
      <c r="B111" t="str">
        <f t="shared" si="16"/>
        <v>Sajid Naqvi</v>
      </c>
      <c r="C111" s="11">
        <f t="shared" si="17"/>
        <v>0.34430555555555559</v>
      </c>
      <c r="D111" s="11">
        <f t="shared" si="18"/>
        <v>0.20876157407407406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25">
      <c r="A112" t="str">
        <f>'Break Data'!A112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0.19284722222222225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25">
      <c r="A113" t="str">
        <f>'Break Data'!A113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25">
      <c r="A114" t="str">
        <f>'Break Data'!A114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25">
      <c r="A115" t="str">
        <f>'Break Data'!A115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5.1342592592592586E-2</v>
      </c>
      <c r="F115">
        <f t="shared" si="20"/>
        <v>72</v>
      </c>
      <c r="G115" s="12">
        <f t="shared" si="21"/>
        <v>0.58165871362322696</v>
      </c>
    </row>
    <row r="116" spans="1:7" x14ac:dyDescent="0.25">
      <c r="A116" t="str">
        <f>'Break Data'!A116</f>
        <v>Del_Santosh Kumar (1008626)</v>
      </c>
      <c r="B116" t="str">
        <f t="shared" si="16"/>
        <v>Santosh Kumar</v>
      </c>
      <c r="C116" s="11">
        <f t="shared" si="17"/>
        <v>0.33370370370370367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25">
      <c r="A117" t="str">
        <f>'Break Data'!A117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25">
      <c r="A118" t="str">
        <f>'Break Data'!A118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25">
      <c r="A119" t="str">
        <f>'Break Data'!A119</f>
        <v>Del_Sapna Sharma (1008629)</v>
      </c>
      <c r="B119" t="str">
        <f t="shared" si="16"/>
        <v>Sapna Sharma</v>
      </c>
      <c r="C119" s="11">
        <f t="shared" si="17"/>
        <v>0.33627314814814818</v>
      </c>
      <c r="D119" s="11">
        <f t="shared" si="18"/>
        <v>0.18991898148148148</v>
      </c>
      <c r="E119" s="11">
        <f t="shared" si="19"/>
        <v>6.4317129629629641E-2</v>
      </c>
      <c r="F119">
        <f t="shared" si="20"/>
        <v>76</v>
      </c>
      <c r="G119" s="12">
        <f t="shared" si="21"/>
        <v>0.53238796723342696</v>
      </c>
    </row>
    <row r="120" spans="1:7" x14ac:dyDescent="0.25">
      <c r="A120" t="str">
        <f>'Break Data'!A120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25">
      <c r="A121" t="str">
        <f>'Break Data'!A121</f>
        <v>Del_Shailaja Kamal (1008631)</v>
      </c>
      <c r="B121" t="str">
        <f t="shared" si="16"/>
        <v>Shailaja Kamal</v>
      </c>
      <c r="C121" s="11">
        <f t="shared" si="17"/>
        <v>0.33974537037037034</v>
      </c>
      <c r="D121" s="11">
        <f t="shared" si="18"/>
        <v>0.20261574074074074</v>
      </c>
      <c r="E121" s="11">
        <f t="shared" si="19"/>
        <v>4.7754629629629626E-2</v>
      </c>
      <c r="F121">
        <f t="shared" si="20"/>
        <v>78</v>
      </c>
      <c r="G121" s="12">
        <f t="shared" si="21"/>
        <v>0.54633099407235797</v>
      </c>
    </row>
    <row r="122" spans="1:7" x14ac:dyDescent="0.25">
      <c r="A122" t="str">
        <f>'Break Data'!A122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25">
      <c r="A123" t="str">
        <f>'Break Data'!A123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25">
      <c r="A124" t="str">
        <f>'Break Data'!A124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25">
      <c r="A125" t="str">
        <f>'Break Data'!A125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25">
      <c r="A126" t="str">
        <f>'Break Data'!A126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0.21557870370370369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25">
      <c r="A127" t="str">
        <f>'Break Data'!A127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0.15380787037037039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25">
      <c r="A128" t="str">
        <f>'Break Data'!A128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9.5694444444444457E-2</v>
      </c>
      <c r="F128">
        <f t="shared" si="20"/>
        <v>85</v>
      </c>
      <c r="G128" s="12">
        <f t="shared" si="21"/>
        <v>0.43796610169491501</v>
      </c>
    </row>
    <row r="129" spans="1:7" x14ac:dyDescent="0.25">
      <c r="A129" t="str">
        <f>'Break Data'!A129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5.5231481481481486E-2</v>
      </c>
      <c r="F129">
        <f t="shared" si="20"/>
        <v>86</v>
      </c>
      <c r="G129" s="12">
        <f t="shared" si="21"/>
        <v>0.55581995508931903</v>
      </c>
    </row>
    <row r="130" spans="1:7" x14ac:dyDescent="0.25">
      <c r="A130" t="str">
        <f>'Break Data'!A130</f>
        <v>Del_Shyamal Malakar (1008640)</v>
      </c>
      <c r="B130" t="str">
        <f t="shared" si="16"/>
        <v>Shyamal Malakar</v>
      </c>
      <c r="C130" s="11">
        <f t="shared" ref="C130:C150" si="22">TIMEVALUE(VLOOKUP(A130,EfficiencyData,2,0))</f>
        <v>0.34416666666666668</v>
      </c>
      <c r="D130" s="11">
        <f t="shared" ref="D130:D150" si="23">TIMEVALUE(VLOOKUP(A130,EfficiencyData,3,0))</f>
        <v>0.12054398148148149</v>
      </c>
      <c r="E130" s="11">
        <f t="shared" ref="E130:E150" si="24">TIMEVALUE(VLOOKUP(A130,BreakData,9,0))</f>
        <v>0.19140046296296295</v>
      </c>
      <c r="F130">
        <f t="shared" ref="F130:F150" si="25">VLOOKUP(A130,PerformanceDate,2,0)</f>
        <v>87</v>
      </c>
      <c r="G130" s="12">
        <f t="shared" ref="G130:G150" si="26">VLOOKUP(A130,EfficiencyData,6,0)</f>
        <v>0.326035781544256</v>
      </c>
    </row>
    <row r="131" spans="1:7" x14ac:dyDescent="0.25">
      <c r="A131" t="str">
        <f>'Break Data'!A131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25">
      <c r="A132" t="str">
        <f>'Break Data'!A132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25">
      <c r="A133" t="str">
        <f>'Break Data'!A133</f>
        <v>Del_Sudama Kumar (1008643)</v>
      </c>
      <c r="B133" t="str">
        <f t="shared" si="27"/>
        <v>Sudama Kumar</v>
      </c>
      <c r="C133" s="11">
        <f t="shared" si="22"/>
        <v>0.34012731481481479</v>
      </c>
      <c r="D133" s="11">
        <f t="shared" si="23"/>
        <v>0.11028935185185185</v>
      </c>
      <c r="E133" s="11">
        <f t="shared" si="24"/>
        <v>0.19189814814814818</v>
      </c>
      <c r="F133">
        <f t="shared" si="25"/>
        <v>90</v>
      </c>
      <c r="G133" s="12">
        <f t="shared" si="26"/>
        <v>0.29689998979140397</v>
      </c>
    </row>
    <row r="134" spans="1:7" x14ac:dyDescent="0.25">
      <c r="A134" t="str">
        <f>'Break Data'!A134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0.19138888888888891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25">
      <c r="A135" t="str">
        <f>'Break Data'!A135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25">
      <c r="A136" t="str">
        <f>'Break Data'!A136</f>
        <v>Del_Sunil Kumar (1008646)</v>
      </c>
      <c r="B136" t="str">
        <f t="shared" si="27"/>
        <v>Sunil Kumar</v>
      </c>
      <c r="C136" s="11">
        <f t="shared" si="22"/>
        <v>0.33687500000000004</v>
      </c>
      <c r="D136" s="11">
        <f t="shared" si="23"/>
        <v>0.17017361111111109</v>
      </c>
      <c r="E136" s="11">
        <f t="shared" si="24"/>
        <v>9.5034722222222215E-2</v>
      </c>
      <c r="F136">
        <f t="shared" si="25"/>
        <v>93</v>
      </c>
      <c r="G136" s="12">
        <f t="shared" si="26"/>
        <v>0.472308115165258</v>
      </c>
    </row>
    <row r="137" spans="1:7" x14ac:dyDescent="0.25">
      <c r="A137" t="str">
        <f>'Break Data'!A137</f>
        <v>Del_Sunita Chawla (1008647)</v>
      </c>
      <c r="B137" t="str">
        <f t="shared" si="27"/>
        <v>Sunita Chawla</v>
      </c>
      <c r="C137" s="11">
        <f t="shared" si="22"/>
        <v>0.33709490740740744</v>
      </c>
      <c r="D137" s="11">
        <f t="shared" si="23"/>
        <v>0.18885416666666666</v>
      </c>
      <c r="E137" s="11">
        <f t="shared" si="24"/>
        <v>8.7997685185185193E-2</v>
      </c>
      <c r="F137">
        <f t="shared" si="25"/>
        <v>94</v>
      </c>
      <c r="G137" s="12">
        <f t="shared" si="26"/>
        <v>0.51110729613733896</v>
      </c>
    </row>
    <row r="138" spans="1:7" x14ac:dyDescent="0.25">
      <c r="A138" t="str">
        <f>'Break Data'!A138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25">
      <c r="A139" t="str">
        <f>'Break Data'!A139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0.12112268518518519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25">
      <c r="A140" t="str">
        <f>'Break Data'!A140</f>
        <v>Del_Surendranath Thakur (1008650)</v>
      </c>
      <c r="B140" t="str">
        <f t="shared" si="27"/>
        <v>Surendranath Thakur</v>
      </c>
      <c r="C140" s="11">
        <f t="shared" si="22"/>
        <v>0.35686342592592596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25">
      <c r="A141" t="str">
        <f>'Break Data'!A141</f>
        <v>Del_Sushma Khandelwal (1008651)</v>
      </c>
      <c r="B141" t="str">
        <f t="shared" si="27"/>
        <v>Sushma Khandelwal</v>
      </c>
      <c r="C141" s="11">
        <f t="shared" si="22"/>
        <v>0.34392361111111108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25">
      <c r="A142" t="str">
        <f>'Break Data'!A142</f>
        <v>Del_Swarnlata Borse (1008652)</v>
      </c>
      <c r="B142" t="str">
        <f t="shared" si="27"/>
        <v>Swarnlata Borse</v>
      </c>
      <c r="C142" s="11">
        <f t="shared" si="22"/>
        <v>0.34658564814814818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25">
      <c r="A143" t="str">
        <f>'Break Data'!A143</f>
        <v>Del_Syed Naved (1008653)</v>
      </c>
      <c r="B143" t="str">
        <f t="shared" si="27"/>
        <v>Syed Naved</v>
      </c>
      <c r="C143" s="11">
        <f t="shared" si="22"/>
        <v>0.34281249999999996</v>
      </c>
      <c r="D143" s="11">
        <f t="shared" si="23"/>
        <v>0.22505787037037037</v>
      </c>
      <c r="E143" s="11">
        <f t="shared" si="24"/>
        <v>5.1898148148148145E-2</v>
      </c>
      <c r="F143">
        <f t="shared" si="25"/>
        <v>100</v>
      </c>
      <c r="G143" s="12">
        <f t="shared" si="26"/>
        <v>0.58462473412336702</v>
      </c>
    </row>
    <row r="144" spans="1:7" x14ac:dyDescent="0.25">
      <c r="A144" t="str">
        <f>'Break Data'!A144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0.21081018518518521</v>
      </c>
      <c r="F144">
        <f t="shared" si="25"/>
        <v>101</v>
      </c>
      <c r="G144" s="12">
        <f t="shared" si="26"/>
        <v>0.31685816164817698</v>
      </c>
    </row>
    <row r="145" spans="1:7" x14ac:dyDescent="0.25">
      <c r="A145" t="str">
        <f>'Break Data'!A145</f>
        <v>Del_Syed Sohail (1008655)</v>
      </c>
      <c r="B145" t="str">
        <f t="shared" si="27"/>
        <v>Syed Sohail</v>
      </c>
      <c r="C145" s="11">
        <f t="shared" si="22"/>
        <v>0.34575231481481478</v>
      </c>
      <c r="D145" s="11">
        <f t="shared" si="23"/>
        <v>0.20268518518518519</v>
      </c>
      <c r="E145" s="11">
        <f t="shared" si="24"/>
        <v>5.004629629629629E-2</v>
      </c>
      <c r="F145">
        <f t="shared" si="25"/>
        <v>102</v>
      </c>
      <c r="G145" s="12">
        <f t="shared" si="26"/>
        <v>0.56375322197301903</v>
      </c>
    </row>
    <row r="146" spans="1:7" x14ac:dyDescent="0.25">
      <c r="A146" t="str">
        <f>'Break Data'!A146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0.21916666666666665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25">
      <c r="A147" t="str">
        <f>'Break Data'!A147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25">
      <c r="A148" t="str">
        <f>'Break Data'!A148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0.21891203703703702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25">
      <c r="A149" t="str">
        <f>'Break Data'!A149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1.045138888888889E-2</v>
      </c>
      <c r="F149">
        <f t="shared" si="25"/>
        <v>106</v>
      </c>
      <c r="G149" s="12">
        <f t="shared" si="26"/>
        <v>0.60261183662128404</v>
      </c>
    </row>
    <row r="150" spans="1:7" x14ac:dyDescent="0.25">
      <c r="A150" t="str">
        <f>'Break Data'!A150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9.5034722222222215E-2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30C49-55B1-4111-A3C5-A7979399DAE5}">
  <sheetPr codeName="Sheet5"/>
  <dimension ref="A1:E12"/>
  <sheetViews>
    <sheetView tabSelected="1" zoomScale="85" zoomScaleNormal="85" workbookViewId="0">
      <selection activeCell="D7" sqref="D7"/>
    </sheetView>
  </sheetViews>
  <sheetFormatPr defaultRowHeight="15" x14ac:dyDescent="0.25"/>
  <cols>
    <col min="1" max="1" width="14.28515625" bestFit="1" customWidth="1"/>
    <col min="2" max="2" width="39.85546875" customWidth="1"/>
    <col min="4" max="4" width="18" customWidth="1"/>
    <col min="5" max="5" width="41.28515625" customWidth="1"/>
  </cols>
  <sheetData>
    <row r="1" spans="1:5" x14ac:dyDescent="0.25">
      <c r="A1" s="18"/>
      <c r="B1" s="18"/>
      <c r="C1" s="17">
        <v>6</v>
      </c>
    </row>
    <row r="2" spans="1:5" x14ac:dyDescent="0.25">
      <c r="A2" s="18"/>
      <c r="B2" s="18"/>
      <c r="C2" s="17">
        <v>7</v>
      </c>
      <c r="D2" s="18"/>
      <c r="E2" s="18"/>
    </row>
    <row r="3" spans="1:5" x14ac:dyDescent="0.25">
      <c r="A3" s="19" t="s">
        <v>1010</v>
      </c>
      <c r="B3" s="20"/>
      <c r="D3" s="18"/>
      <c r="E3" s="18"/>
    </row>
    <row r="4" spans="1:5" x14ac:dyDescent="0.25">
      <c r="A4" s="14" t="s">
        <v>1003</v>
      </c>
      <c r="B4" t="s">
        <v>1009</v>
      </c>
      <c r="D4" s="19" t="s">
        <v>1010</v>
      </c>
      <c r="E4" s="19"/>
    </row>
    <row r="5" spans="1:5" x14ac:dyDescent="0.25">
      <c r="A5" s="15" t="s">
        <v>1011</v>
      </c>
      <c r="B5" s="16">
        <v>0.38646990740740739</v>
      </c>
      <c r="D5" s="14" t="s">
        <v>1003</v>
      </c>
      <c r="E5" t="s">
        <v>1009</v>
      </c>
    </row>
    <row r="6" spans="1:5" x14ac:dyDescent="0.25">
      <c r="A6" s="15" t="s">
        <v>1004</v>
      </c>
      <c r="B6" s="16">
        <v>1.3668402777777777</v>
      </c>
      <c r="D6" s="15" t="s">
        <v>1011</v>
      </c>
      <c r="E6" s="16">
        <v>0.38646990740740739</v>
      </c>
    </row>
    <row r="7" spans="1:5" x14ac:dyDescent="0.25">
      <c r="A7" s="15" t="s">
        <v>1005</v>
      </c>
      <c r="B7" s="16">
        <v>0.66396990740740736</v>
      </c>
      <c r="D7" s="15" t="s">
        <v>1004</v>
      </c>
      <c r="E7" s="16">
        <v>1.3668402777777777</v>
      </c>
    </row>
    <row r="8" spans="1:5" x14ac:dyDescent="0.25">
      <c r="A8" s="15" t="s">
        <v>1006</v>
      </c>
      <c r="B8" s="16">
        <v>0.67937500000000006</v>
      </c>
      <c r="D8" s="15" t="s">
        <v>1005</v>
      </c>
      <c r="E8" s="16">
        <v>0.66396990740740736</v>
      </c>
    </row>
    <row r="9" spans="1:5" x14ac:dyDescent="0.25">
      <c r="A9" s="15" t="s">
        <v>1007</v>
      </c>
      <c r="B9" s="16">
        <v>1.0142939814814815</v>
      </c>
      <c r="D9" s="15" t="s">
        <v>1006</v>
      </c>
      <c r="E9" s="16">
        <v>0.67937500000000006</v>
      </c>
    </row>
    <row r="10" spans="1:5" x14ac:dyDescent="0.25">
      <c r="A10" s="15" t="s">
        <v>1008</v>
      </c>
      <c r="B10" s="16">
        <v>0.67259259259259263</v>
      </c>
      <c r="D10" s="15" t="s">
        <v>1007</v>
      </c>
      <c r="E10" s="16">
        <v>1.0142939814814815</v>
      </c>
    </row>
    <row r="11" spans="1:5" x14ac:dyDescent="0.25">
      <c r="D11" s="15" t="s">
        <v>1012</v>
      </c>
      <c r="E11" s="16">
        <v>0.36775462962962963</v>
      </c>
    </row>
    <row r="12" spans="1:5" x14ac:dyDescent="0.25">
      <c r="D12" s="15" t="s">
        <v>1008</v>
      </c>
      <c r="E12" s="16">
        <v>0.67259259259259263</v>
      </c>
    </row>
  </sheetData>
  <mergeCells count="4">
    <mergeCell ref="A1:B2"/>
    <mergeCell ref="A3:B3"/>
    <mergeCell ref="D4:E4"/>
    <mergeCell ref="D2:E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6" name="Spinner 6">
              <controlPr defaultSize="0" autoPict="0" macro="[0]!Spinner_chart1">
                <anchor moveWithCells="1" sizeWithCells="1">
                  <from>
                    <xdr:col>1</xdr:col>
                    <xdr:colOff>1181100</xdr:colOff>
                    <xdr:row>0</xdr:row>
                    <xdr:rowOff>66675</xdr:rowOff>
                  </from>
                  <to>
                    <xdr:col>1</xdr:col>
                    <xdr:colOff>1314450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Spinner 7">
              <controlPr defaultSize="0" autoPict="0" macro="[0]!Spinner_chart1">
                <anchor moveWithCells="1" sizeWithCells="1">
                  <from>
                    <xdr:col>1</xdr:col>
                    <xdr:colOff>2266950</xdr:colOff>
                    <xdr:row>12</xdr:row>
                    <xdr:rowOff>19050</xdr:rowOff>
                  </from>
                  <to>
                    <xdr:col>1</xdr:col>
                    <xdr:colOff>2400300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Spinner 8">
              <controlPr defaultSize="0" autoPict="0" macro="[0]!Spinner_Chart2">
                <anchor moveWithCells="1" sizeWithCells="1">
                  <from>
                    <xdr:col>4</xdr:col>
                    <xdr:colOff>1181100</xdr:colOff>
                    <xdr:row>1</xdr:row>
                    <xdr:rowOff>66675</xdr:rowOff>
                  </from>
                  <to>
                    <xdr:col>4</xdr:col>
                    <xdr:colOff>1314450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Spinner 9">
              <controlPr defaultSize="0" autoPict="0" macro="[0]!Spinner_Chart2">
                <anchor moveWithCells="1" sizeWithCells="1">
                  <from>
                    <xdr:col>4</xdr:col>
                    <xdr:colOff>2362200</xdr:colOff>
                    <xdr:row>11</xdr:row>
                    <xdr:rowOff>133350</xdr:rowOff>
                  </from>
                  <to>
                    <xdr:col>4</xdr:col>
                    <xdr:colOff>2495550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 Data</vt:lpstr>
      <vt:lpstr>Efficiency Data</vt:lpstr>
      <vt:lpstr>Over All Performance Data</vt:lpstr>
      <vt:lpstr>Summary</vt:lpstr>
      <vt:lpstr>DashBoard</vt:lpstr>
      <vt:lpstr>BreakData</vt:lpstr>
      <vt:lpstr>EfficiencyData</vt:lpstr>
      <vt:lpstr>PerformanceDate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2026-07-01T10:10:12Z</dcterms:created>
  <dcterms:modified xsi:type="dcterms:W3CDTF">2026-07-01T16:32:40Z</dcterms:modified>
</cp:coreProperties>
</file>